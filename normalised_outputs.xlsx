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sharedservice.sharepoint.com/sites/StrategyIntelligence/Shared Documents/10. Projects/Common progress measures/Regression Analysis/"/>
    </mc:Choice>
  </mc:AlternateContent>
  <xr:revisionPtr revIDLastSave="110" documentId="8_{00059D5C-3E7F-4A6E-AED3-D9CF21B6096F}" xr6:coauthVersionLast="47" xr6:coauthVersionMax="47" xr10:uidLastSave="{1050BB6C-1F9F-40D5-A533-F40082CFB977}"/>
  <bookViews>
    <workbookView xWindow="4890" yWindow="-16320" windowWidth="29040" windowHeight="15720" activeTab="2" xr2:uid="{E0A32B23-6B12-4D12-8D53-D8ECB15C8852}"/>
  </bookViews>
  <sheets>
    <sheet name="Dataset_Overview" sheetId="5" r:id="rId1"/>
    <sheet name="CPM_2024_2025_Scores" sheetId="3" r:id="rId2"/>
    <sheet name="CPM_2023_2024_Scores" sheetId="2" r:id="rId3"/>
    <sheet name="IMD_2025_W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Q26" i="3" l="1"/>
  <c r="AQ27" i="3"/>
  <c r="AP25" i="3"/>
  <c r="AQ28" i="3" l="1"/>
  <c r="AQ7" i="3" s="1"/>
  <c r="AQ8" i="3"/>
  <c r="AQ9" i="3" l="1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tc={6123115A-050F-484F-85F4-70784E3E559B}</author>
  </authors>
  <commentList>
    <comment ref="AH3" authorId="0" shapeId="0" xr:uid="{6123115A-050F-484F-85F4-70784E3E559B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are some negative?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tc={84184572-777D-4072-B6BE-E7D15EF0AC59}</author>
  </authors>
  <commentList>
    <comment ref="AH3" authorId="0" shapeId="0" xr:uid="{84184572-777D-4072-B6BE-E7D15EF0AC59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are some negative?</t>
      </text>
    </comment>
  </commentList>
</comments>
</file>

<file path=xl/sharedStrings.xml><?xml version="1.0" encoding="utf-8"?>
<sst xmlns="http://schemas.openxmlformats.org/spreadsheetml/2006/main" count="1197" uniqueCount="208">
  <si>
    <t>Westminster</t>
  </si>
  <si>
    <t xml:space="preserve">Unique Ref: </t>
  </si>
  <si>
    <t>CPM048</t>
  </si>
  <si>
    <t>CPM014</t>
  </si>
  <si>
    <t>CPM018</t>
  </si>
  <si>
    <t>CPM019</t>
  </si>
  <si>
    <t>CPM038</t>
  </si>
  <si>
    <t>CPM042</t>
  </si>
  <si>
    <t>CPM043</t>
  </si>
  <si>
    <t>CPM012</t>
  </si>
  <si>
    <t>CPM011</t>
  </si>
  <si>
    <t>CPM008</t>
  </si>
  <si>
    <t>CPM052</t>
  </si>
  <si>
    <t>CPM0063</t>
  </si>
  <si>
    <t>CPM064</t>
  </si>
  <si>
    <t>CPM009</t>
  </si>
  <si>
    <t>CPM001</t>
  </si>
  <si>
    <t>CPM002</t>
  </si>
  <si>
    <t>CPM026</t>
  </si>
  <si>
    <t>CPM027</t>
  </si>
  <si>
    <t>CPM059</t>
  </si>
  <si>
    <t>CPM034</t>
  </si>
  <si>
    <t>CPM050</t>
  </si>
  <si>
    <t>CPM057</t>
  </si>
  <si>
    <t>CPM058</t>
  </si>
  <si>
    <t>CPM053</t>
  </si>
  <si>
    <t>CPM044</t>
  </si>
  <si>
    <t>CPM045</t>
  </si>
  <si>
    <t xml:space="preserve">Topic: </t>
  </si>
  <si>
    <t>Money, local economy, jobs and training</t>
  </si>
  <si>
    <t>Crime and safety</t>
  </si>
  <si>
    <t>Education, community and connection</t>
  </si>
  <si>
    <t>Health, wellbeing and healthcare</t>
  </si>
  <si>
    <t>Housing and homelessness</t>
  </si>
  <si>
    <t>Neighbourhood and environment</t>
  </si>
  <si>
    <t>Metric:</t>
  </si>
  <si>
    <t>Proportion of children in relative poverty after housing costs</t>
  </si>
  <si>
    <t xml:space="preserve">Proportion of children in workless households </t>
  </si>
  <si>
    <t>Proportion of households in LIFT financially at risk or in crisis</t>
  </si>
  <si>
    <t>% of households in LIFT financially with barriers to work</t>
  </si>
  <si>
    <t>Ratio of house prices to median earnings</t>
  </si>
  <si>
    <t>% of working age people on out of work benefits</t>
  </si>
  <si>
    <t>Racist and religious hate crime offences</t>
  </si>
  <si>
    <t>Racist and religious hate crime offences - removed outliers</t>
  </si>
  <si>
    <t>Number of violence with injury offences by year</t>
  </si>
  <si>
    <t>Number of violence with injury offences by year - Removed Outlier</t>
  </si>
  <si>
    <t>% of residents who feel safe walking alone in their area after dark</t>
  </si>
  <si>
    <t>% of residents who feel safe where they live</t>
  </si>
  <si>
    <t>Average attainment 8 score KS4</t>
  </si>
  <si>
    <t>Average progress 8 score KS4</t>
  </si>
  <si>
    <t>Education Gap at KS2 - meeting expected standard for Reading/Writing/Maths</t>
  </si>
  <si>
    <t>KS2 Free school meal eligibility</t>
  </si>
  <si>
    <t>Progress 8 scores - Disadvantaged</t>
  </si>
  <si>
    <t>Progress 8 scores - Advantaged</t>
  </si>
  <si>
    <t xml:space="preserve">Attainment 8 scores -Advantaged </t>
  </si>
  <si>
    <t>Attainment 8 scores - Disadvantaged</t>
  </si>
  <si>
    <t>Life expectancy, female</t>
  </si>
  <si>
    <t>Life expectancy, male</t>
  </si>
  <si>
    <t>Percentage of residents with long term health conditions</t>
  </si>
  <si>
    <t>Uptake (Proportion) of NHS health checks</t>
  </si>
  <si>
    <t>% of residents with Asthma</t>
  </si>
  <si>
    <t>Residents who smoke</t>
  </si>
  <si>
    <t>Obesity prevalance</t>
  </si>
  <si>
    <r>
      <rPr>
        <sz val="12"/>
        <color theme="0"/>
        <rFont val="Aptos Narrow"/>
        <family val="2"/>
        <scheme val="minor"/>
      </rPr>
      <t>% of residents who felt anxious -</t>
    </r>
    <r>
      <rPr>
        <sz val="11"/>
        <color theme="0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medium (4-5) or high (6-9)</t>
    </r>
  </si>
  <si>
    <t>% of residents who felt isolated</t>
  </si>
  <si>
    <t>Placement of households in temporary accommodation</t>
  </si>
  <si>
    <t>Placement of temporary accommodation - Households with children</t>
  </si>
  <si>
    <t>% Attending sports &amp; leisure centres</t>
  </si>
  <si>
    <t>Average PM2.5 Reading (µg/m³)</t>
  </si>
  <si>
    <t>Average NO2 Reading (µg/m³)</t>
  </si>
  <si>
    <t>Number of noise complaints received</t>
  </si>
  <si>
    <t>No. of reported road casualties - pedestrians</t>
  </si>
  <si>
    <t>No. of reported road casualties - pedestrians - no outliers</t>
  </si>
  <si>
    <t xml:space="preserve">Polarity: </t>
  </si>
  <si>
    <t>High - negative</t>
  </si>
  <si>
    <t>Low - negative</t>
  </si>
  <si>
    <t>High -negative</t>
  </si>
  <si>
    <t>Low - Negative</t>
  </si>
  <si>
    <t>High-negative</t>
  </si>
  <si>
    <t xml:space="preserve">Source: </t>
  </si>
  <si>
    <t>DWP</t>
  </si>
  <si>
    <t>LIFT / Policy in Practice</t>
  </si>
  <si>
    <t>CACI &amp; ONS</t>
  </si>
  <si>
    <t>London Data Store</t>
  </si>
  <si>
    <t>Westminster City Survey</t>
  </si>
  <si>
    <t>Internal - Children services</t>
  </si>
  <si>
    <t xml:space="preserve">Internal - Public Health
</t>
  </si>
  <si>
    <t>Internal - Public Health</t>
  </si>
  <si>
    <t>WISC data</t>
  </si>
  <si>
    <t>Internal: Westminser Housing Needs</t>
  </si>
  <si>
    <t>Internal - Strategy &amp; Intelligence - EJM 2024</t>
  </si>
  <si>
    <t>WCC Smart City Data Store</t>
  </si>
  <si>
    <t>Uniform - internal database</t>
  </si>
  <si>
    <t>TfL Road safety data</t>
  </si>
  <si>
    <t>Ward</t>
  </si>
  <si>
    <t xml:space="preserve"> 2023/2024</t>
  </si>
  <si>
    <t>MinMax</t>
  </si>
  <si>
    <t xml:space="preserve"> 2023/2024 </t>
  </si>
  <si>
    <t xml:space="preserve"> 2022/2024</t>
  </si>
  <si>
    <t>2023/2024</t>
  </si>
  <si>
    <t>Abbey Road</t>
  </si>
  <si>
    <t>Bayswater</t>
  </si>
  <si>
    <t>Church Street</t>
  </si>
  <si>
    <t>Harrow Road</t>
  </si>
  <si>
    <t>Hyde Park</t>
  </si>
  <si>
    <t>Removed outlier</t>
  </si>
  <si>
    <t>Knightsbridge and Belgravia</t>
  </si>
  <si>
    <t>Lancaster Gate</t>
  </si>
  <si>
    <t>Little Venice</t>
  </si>
  <si>
    <t>Maida Vale</t>
  </si>
  <si>
    <t>Marylebone</t>
  </si>
  <si>
    <t>Pimlico North</t>
  </si>
  <si>
    <t>Pimlico South</t>
  </si>
  <si>
    <t>Queen's Park</t>
  </si>
  <si>
    <t>Regent's Park</t>
  </si>
  <si>
    <t>St James's</t>
  </si>
  <si>
    <t>removed outliers</t>
  </si>
  <si>
    <t>Vincent Square</t>
  </si>
  <si>
    <t>West End</t>
  </si>
  <si>
    <t>Westbourne</t>
  </si>
  <si>
    <t>Min</t>
  </si>
  <si>
    <t>Max</t>
  </si>
  <si>
    <t>Max-Min</t>
  </si>
  <si>
    <t xml:space="preserve">Office for Health Improvement and Disparities
</t>
  </si>
  <si>
    <t>Internal: Westminster  Housing Needs</t>
  </si>
  <si>
    <t>Internal - Datawarehouse</t>
  </si>
  <si>
    <t>2024/2025</t>
  </si>
  <si>
    <t>Min-Max</t>
  </si>
  <si>
    <t>-</t>
  </si>
  <si>
    <t>Number of noise complaints received - no outliers</t>
  </si>
  <si>
    <t>WD24CD</t>
  </si>
  <si>
    <t>WD24NM</t>
  </si>
  <si>
    <t>LAD24</t>
  </si>
  <si>
    <t>LAD24CD</t>
  </si>
  <si>
    <t xml:space="preserve"> IMD25 IMD Score</t>
  </si>
  <si>
    <t xml:space="preserve"> IMD25 IMD Rank</t>
  </si>
  <si>
    <t xml:space="preserve"> IMD25 IMD Decile</t>
  </si>
  <si>
    <t xml:space="preserve"> IMD25 Income Score</t>
  </si>
  <si>
    <t xml:space="preserve"> IMD25 Income Rank</t>
  </si>
  <si>
    <t xml:space="preserve"> IMD25 Income Decile</t>
  </si>
  <si>
    <t xml:space="preserve"> IMD25 Employment Score</t>
  </si>
  <si>
    <t xml:space="preserve"> IMD25 Employment Rank</t>
  </si>
  <si>
    <t xml:space="preserve"> IMD25 Employment Decile</t>
  </si>
  <si>
    <t xml:space="preserve"> IMD25 Education, Skills and Training Score</t>
  </si>
  <si>
    <t xml:space="preserve"> IMD25 Education, Skills and Training Rank</t>
  </si>
  <si>
    <t xml:space="preserve"> IMD25 Education, Skills and Training Decile</t>
  </si>
  <si>
    <t xml:space="preserve"> IMD25 Health Score</t>
  </si>
  <si>
    <t xml:space="preserve"> IMD25 Health Rank</t>
  </si>
  <si>
    <t xml:space="preserve"> IMD25 Health Decile</t>
  </si>
  <si>
    <t xml:space="preserve"> IMD25 Crime Score</t>
  </si>
  <si>
    <t xml:space="preserve"> IMD25 Crime Rank</t>
  </si>
  <si>
    <t xml:space="preserve"> IMD25 Crime Decile</t>
  </si>
  <si>
    <t xml:space="preserve"> IMD25 Barriers to Housing and Services Score</t>
  </si>
  <si>
    <t xml:space="preserve"> IMD25 Barriers to Housing and Services Rank</t>
  </si>
  <si>
    <t xml:space="preserve"> IMD25 Barriers to Housing and Services Decile</t>
  </si>
  <si>
    <t xml:space="preserve"> IMD25 Living Environment Score</t>
  </si>
  <si>
    <t xml:space="preserve"> IMD25 Living Environment Rank</t>
  </si>
  <si>
    <t xml:space="preserve"> IMD25 Living Environment Decile</t>
  </si>
  <si>
    <t xml:space="preserve"> IMD25 IDACI Score</t>
  </si>
  <si>
    <t xml:space="preserve"> IMD25 IDACI Rank</t>
  </si>
  <si>
    <t xml:space="preserve"> IMD25 IDACI Decile</t>
  </si>
  <si>
    <t xml:space="preserve"> IMD25 IDAOPI Score</t>
  </si>
  <si>
    <t xml:space="preserve"> IMD25 IDAOPI Rank</t>
  </si>
  <si>
    <t xml:space="preserve"> IMD25 IDAOPI Decile</t>
  </si>
  <si>
    <t>E05013794</t>
  </si>
  <si>
    <t>E09000033</t>
  </si>
  <si>
    <t>E05013809</t>
  </si>
  <si>
    <t>E05013795</t>
  </si>
  <si>
    <t>E05013804</t>
  </si>
  <si>
    <t>E05013803</t>
  </si>
  <si>
    <t>E05013807</t>
  </si>
  <si>
    <t>E05013806</t>
  </si>
  <si>
    <t>E05013802</t>
  </si>
  <si>
    <t>E05013800</t>
  </si>
  <si>
    <t>E05013798</t>
  </si>
  <si>
    <t>E05013808</t>
  </si>
  <si>
    <t>E05013793</t>
  </si>
  <si>
    <t>E05013796</t>
  </si>
  <si>
    <t>E05013799</t>
  </si>
  <si>
    <t>E05013801</t>
  </si>
  <si>
    <t>E05013792</t>
  </si>
  <si>
    <t>E05013797</t>
  </si>
  <si>
    <t>Knightsbridge &amp; Belgravia</t>
  </si>
  <si>
    <t>E05013805</t>
  </si>
  <si>
    <t>Dataset</t>
  </si>
  <si>
    <t>CPM Pillar</t>
  </si>
  <si>
    <t>Freq.</t>
  </si>
  <si>
    <t>Polarity</t>
  </si>
  <si>
    <t>Source</t>
  </si>
  <si>
    <t>24-25</t>
  </si>
  <si>
    <t>23-24</t>
  </si>
  <si>
    <t>Yearly</t>
  </si>
  <si>
    <t>☒</t>
  </si>
  <si>
    <t>Proportion of children in workless households</t>
  </si>
  <si>
    <t>Quarterly</t>
  </si>
  <si>
    <t>Monthly</t>
  </si>
  <si>
    <t>☐</t>
  </si>
  <si>
    <t>Attainment 8 scores -Advantaged</t>
  </si>
  <si>
    <t>5 yearly</t>
  </si>
  <si>
    <t>Office for Health Improvement and Disparities</t>
  </si>
  <si>
    <t>Internal – Public Health</t>
  </si>
  <si>
    <t>% of residents who smoke</t>
  </si>
  <si>
    <t>Obesity prevalence</t>
  </si>
  <si>
    <t>% of residents who felt anxious - medium (4-5) or high (6-9)</t>
  </si>
  <si>
    <t>Households in temporary accommodation</t>
  </si>
  <si>
    <t>Internal: Westminster Housing Needs</t>
  </si>
  <si>
    <t>Daily</t>
  </si>
  <si>
    <t>CPM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</si>
</sst>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"/>
      <color indexed="81"/>
      <name val="Tahoma"/>
      <charset val="1"/>
    </font>
    <font>
      <sz val="12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indexed="8"/>
      <name val="Calibri"/>
      <family val="2"/>
    </font>
    <font>
      <i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name val="Aptos Narrow"/>
      <family val="2"/>
      <scheme val="minor"/>
    </font>
    <font>
      <sz val="10"/>
      <color theme="4"/>
      <name val="Aptos Narrow"/>
      <family val="2"/>
      <scheme val="minor"/>
    </font>
    <font>
      <b/>
      <sz val="11"/>
      <color theme="7" tint="-0.499984740745262"/>
      <name val="Calibri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theme="1"/>
      <name val="MS Gothic"/>
      <family val="3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3">
    <xf numFmtId="0" fontId="0" fillId="0" borderId="0" xfId="0"/>
    <xf numFmtId="0" fontId="3" fillId="0" borderId="0" xfId="0" applyFont="1"/>
    <xf numFmtId="0" fontId="0" fillId="0" borderId="1" xfId="0" applyBorder="1"/>
    <xf numFmtId="0" fontId="3" fillId="0" borderId="0" xfId="0" applyFont="1" applyAlignment="1">
      <alignment vertical="top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49" fontId="8" fillId="4" borderId="3" xfId="0" applyNumberFormat="1" applyFont="1" applyFill="1" applyBorder="1" applyAlignment="1">
      <alignment horizontal="center" vertical="top" wrapText="1"/>
    </xf>
    <xf numFmtId="49" fontId="8" fillId="4" borderId="4" xfId="0" applyNumberFormat="1" applyFont="1" applyFill="1" applyBorder="1" applyAlignment="1">
      <alignment horizontal="center" vertical="top" wrapText="1"/>
    </xf>
    <xf numFmtId="49" fontId="8" fillId="5" borderId="5" xfId="0" applyNumberFormat="1" applyFont="1" applyFill="1" applyBorder="1" applyAlignment="1">
      <alignment horizontal="center" vertical="top" wrapText="1"/>
    </xf>
    <xf numFmtId="49" fontId="8" fillId="5" borderId="4" xfId="0" applyNumberFormat="1" applyFont="1" applyFill="1" applyBorder="1" applyAlignment="1">
      <alignment horizontal="center" vertical="top" wrapText="1"/>
    </xf>
    <xf numFmtId="49" fontId="8" fillId="5" borderId="3" xfId="0" applyNumberFormat="1" applyFont="1" applyFill="1" applyBorder="1" applyAlignment="1">
      <alignment horizontal="center" vertical="top" wrapText="1"/>
    </xf>
    <xf numFmtId="49" fontId="8" fillId="6" borderId="3" xfId="0" applyNumberFormat="1" applyFont="1" applyFill="1" applyBorder="1" applyAlignment="1">
      <alignment horizontal="center" vertical="top" wrapText="1"/>
    </xf>
    <xf numFmtId="49" fontId="8" fillId="6" borderId="4" xfId="0" applyNumberFormat="1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horizontal="center" vertical="top" wrapText="1"/>
    </xf>
    <xf numFmtId="0" fontId="8" fillId="6" borderId="4" xfId="0" applyFont="1" applyFill="1" applyBorder="1" applyAlignment="1">
      <alignment horizontal="center" vertical="top" wrapText="1"/>
    </xf>
    <xf numFmtId="49" fontId="8" fillId="7" borderId="3" xfId="0" applyNumberFormat="1" applyFont="1" applyFill="1" applyBorder="1" applyAlignment="1">
      <alignment horizontal="center" vertical="top" wrapText="1"/>
    </xf>
    <xf numFmtId="49" fontId="8" fillId="7" borderId="4" xfId="0" applyNumberFormat="1" applyFont="1" applyFill="1" applyBorder="1" applyAlignment="1">
      <alignment horizontal="center" vertical="top" wrapText="1"/>
    </xf>
    <xf numFmtId="0" fontId="8" fillId="7" borderId="3" xfId="0" applyFont="1" applyFill="1" applyBorder="1" applyAlignment="1">
      <alignment horizontal="center" vertical="top" wrapText="1"/>
    </xf>
    <xf numFmtId="0" fontId="8" fillId="7" borderId="4" xfId="0" applyFont="1" applyFill="1" applyBorder="1" applyAlignment="1">
      <alignment horizontal="center" vertical="top" wrapText="1"/>
    </xf>
    <xf numFmtId="0" fontId="4" fillId="7" borderId="3" xfId="0" applyFont="1" applyFill="1" applyBorder="1" applyAlignment="1">
      <alignment horizontal="center" vertical="top" wrapText="1"/>
    </xf>
    <xf numFmtId="0" fontId="4" fillId="7" borderId="4" xfId="0" applyFont="1" applyFill="1" applyBorder="1" applyAlignment="1">
      <alignment horizontal="center" vertical="top" wrapText="1"/>
    </xf>
    <xf numFmtId="49" fontId="6" fillId="7" borderId="3" xfId="0" applyNumberFormat="1" applyFont="1" applyFill="1" applyBorder="1" applyAlignment="1">
      <alignment horizontal="center" vertical="top" wrapText="1"/>
    </xf>
    <xf numFmtId="49" fontId="6" fillId="7" borderId="4" xfId="0" applyNumberFormat="1" applyFont="1" applyFill="1" applyBorder="1" applyAlignment="1">
      <alignment horizontal="center" vertical="top" wrapText="1"/>
    </xf>
    <xf numFmtId="49" fontId="8" fillId="8" borderId="3" xfId="0" applyNumberFormat="1" applyFont="1" applyFill="1" applyBorder="1" applyAlignment="1">
      <alignment horizontal="center" vertical="top" wrapText="1"/>
    </xf>
    <xf numFmtId="49" fontId="8" fillId="8" borderId="4" xfId="0" applyNumberFormat="1" applyFont="1" applyFill="1" applyBorder="1" applyAlignment="1">
      <alignment horizontal="center" vertical="top" wrapText="1"/>
    </xf>
    <xf numFmtId="49" fontId="8" fillId="8" borderId="1" xfId="0" applyNumberFormat="1" applyFont="1" applyFill="1" applyBorder="1" applyAlignment="1">
      <alignment horizontal="center" vertical="top" wrapText="1"/>
    </xf>
    <xf numFmtId="49" fontId="8" fillId="8" borderId="0" xfId="0" applyNumberFormat="1" applyFont="1" applyFill="1" applyAlignment="1">
      <alignment horizontal="center" vertical="top" wrapText="1"/>
    </xf>
    <xf numFmtId="49" fontId="8" fillId="9" borderId="3" xfId="0" applyNumberFormat="1" applyFont="1" applyFill="1" applyBorder="1" applyAlignment="1">
      <alignment horizontal="center" vertical="top" wrapText="1"/>
    </xf>
    <xf numFmtId="49" fontId="8" fillId="9" borderId="4" xfId="0" applyNumberFormat="1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0" fillId="10" borderId="0" xfId="0" applyFont="1" applyFill="1" applyAlignment="1">
      <alignment horizontal="center" vertical="top"/>
    </xf>
    <xf numFmtId="0" fontId="10" fillId="10" borderId="2" xfId="0" applyFont="1" applyFill="1" applyBorder="1" applyAlignment="1">
      <alignment horizontal="center" vertical="top"/>
    </xf>
    <xf numFmtId="0" fontId="10" fillId="10" borderId="1" xfId="0" applyFont="1" applyFill="1" applyBorder="1" applyAlignment="1">
      <alignment horizontal="center" vertical="top"/>
    </xf>
    <xf numFmtId="0" fontId="2" fillId="0" borderId="0" xfId="0" applyFont="1"/>
    <xf numFmtId="0" fontId="11" fillId="0" borderId="0" xfId="0" applyFont="1" applyAlignment="1">
      <alignment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2" fillId="10" borderId="0" xfId="0" applyFont="1" applyFill="1" applyAlignment="1">
      <alignment horizontal="center" vertical="top" wrapText="1"/>
    </xf>
    <xf numFmtId="0" fontId="12" fillId="10" borderId="2" xfId="0" applyFont="1" applyFill="1" applyBorder="1" applyAlignment="1">
      <alignment horizontal="center" vertical="top" wrapText="1"/>
    </xf>
    <xf numFmtId="0" fontId="12" fillId="10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3" fillId="0" borderId="0" xfId="0" applyFont="1" applyAlignment="1">
      <alignment vertical="top" wrapText="1"/>
    </xf>
    <xf numFmtId="0" fontId="14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4" fillId="10" borderId="2" xfId="0" applyFont="1" applyFill="1" applyBorder="1" applyAlignment="1">
      <alignment horizontal="center" vertical="top"/>
    </xf>
    <xf numFmtId="0" fontId="14" fillId="10" borderId="1" xfId="0" applyFont="1" applyFill="1" applyBorder="1" applyAlignment="1">
      <alignment horizontal="center" vertical="top"/>
    </xf>
    <xf numFmtId="0" fontId="14" fillId="0" borderId="1" xfId="0" applyFont="1" applyBorder="1" applyAlignment="1">
      <alignment horizontal="left" vertical="top"/>
    </xf>
    <xf numFmtId="49" fontId="15" fillId="0" borderId="1" xfId="0" applyNumberFormat="1" applyFont="1" applyBorder="1" applyAlignment="1">
      <alignment vertical="top"/>
    </xf>
    <xf numFmtId="49" fontId="15" fillId="10" borderId="1" xfId="0" applyNumberFormat="1" applyFont="1" applyFill="1" applyBorder="1" applyAlignment="1">
      <alignment vertical="top"/>
    </xf>
    <xf numFmtId="0" fontId="16" fillId="0" borderId="0" xfId="0" applyFont="1"/>
    <xf numFmtId="164" fontId="16" fillId="0" borderId="1" xfId="0" applyNumberFormat="1" applyFont="1" applyBorder="1"/>
    <xf numFmtId="164" fontId="0" fillId="0" borderId="2" xfId="0" applyNumberFormat="1" applyBorder="1"/>
    <xf numFmtId="164" fontId="0" fillId="0" borderId="1" xfId="0" applyNumberFormat="1" applyBorder="1"/>
    <xf numFmtId="164" fontId="16" fillId="0" borderId="0" xfId="1" applyNumberFormat="1" applyFont="1" applyAlignment="1">
      <alignment horizontal="right"/>
    </xf>
    <xf numFmtId="3" fontId="16" fillId="0" borderId="1" xfId="0" applyNumberFormat="1" applyFont="1" applyBorder="1"/>
    <xf numFmtId="3" fontId="16" fillId="10" borderId="0" xfId="0" applyNumberFormat="1" applyFont="1" applyFill="1"/>
    <xf numFmtId="164" fontId="0" fillId="10" borderId="2" xfId="0" applyNumberFormat="1" applyFill="1" applyBorder="1"/>
    <xf numFmtId="0" fontId="0" fillId="10" borderId="1" xfId="0" applyFill="1" applyBorder="1"/>
    <xf numFmtId="2" fontId="0" fillId="0" borderId="1" xfId="0" applyNumberFormat="1" applyBorder="1"/>
    <xf numFmtId="164" fontId="0" fillId="0" borderId="0" xfId="0" quotePrefix="1" applyNumberFormat="1"/>
    <xf numFmtId="164" fontId="0" fillId="0" borderId="1" xfId="0" quotePrefix="1" applyNumberFormat="1" applyBorder="1"/>
    <xf numFmtId="1" fontId="0" fillId="0" borderId="1" xfId="0" applyNumberFormat="1" applyBorder="1"/>
    <xf numFmtId="0" fontId="17" fillId="10" borderId="1" xfId="0" applyFont="1" applyFill="1" applyBorder="1"/>
    <xf numFmtId="0" fontId="0" fillId="10" borderId="2" xfId="0" applyFill="1" applyBorder="1"/>
    <xf numFmtId="0" fontId="16" fillId="0" borderId="6" xfId="0" applyFont="1" applyBorder="1"/>
    <xf numFmtId="164" fontId="16" fillId="0" borderId="7" xfId="0" applyNumberFormat="1" applyFont="1" applyBorder="1"/>
    <xf numFmtId="164" fontId="0" fillId="0" borderId="8" xfId="0" applyNumberFormat="1" applyBorder="1"/>
    <xf numFmtId="164" fontId="0" fillId="0" borderId="7" xfId="0" applyNumberFormat="1" applyBorder="1"/>
    <xf numFmtId="164" fontId="16" fillId="0" borderId="6" xfId="1" applyNumberFormat="1" applyFont="1" applyBorder="1" applyAlignment="1">
      <alignment horizontal="right"/>
    </xf>
    <xf numFmtId="3" fontId="16" fillId="0" borderId="7" xfId="0" applyNumberFormat="1" applyFont="1" applyBorder="1"/>
    <xf numFmtId="3" fontId="16" fillId="10" borderId="6" xfId="0" applyNumberFormat="1" applyFont="1" applyFill="1" applyBorder="1"/>
    <xf numFmtId="164" fontId="0" fillId="10" borderId="8" xfId="0" applyNumberFormat="1" applyFill="1" applyBorder="1"/>
    <xf numFmtId="0" fontId="0" fillId="0" borderId="7" xfId="0" applyBorder="1"/>
    <xf numFmtId="0" fontId="0" fillId="10" borderId="7" xfId="0" applyFill="1" applyBorder="1"/>
    <xf numFmtId="2" fontId="0" fillId="0" borderId="7" xfId="0" applyNumberFormat="1" applyBorder="1"/>
    <xf numFmtId="164" fontId="0" fillId="0" borderId="6" xfId="0" quotePrefix="1" applyNumberFormat="1" applyBorder="1"/>
    <xf numFmtId="164" fontId="0" fillId="0" borderId="7" xfId="0" quotePrefix="1" applyNumberFormat="1" applyBorder="1"/>
    <xf numFmtId="1" fontId="0" fillId="0" borderId="7" xfId="0" applyNumberFormat="1" applyBorder="1"/>
    <xf numFmtId="0" fontId="18" fillId="11" borderId="9" xfId="0" applyFont="1" applyFill="1" applyBorder="1"/>
    <xf numFmtId="164" fontId="18" fillId="11" borderId="9" xfId="0" applyNumberFormat="1" applyFont="1" applyFill="1" applyBorder="1"/>
    <xf numFmtId="164" fontId="18" fillId="11" borderId="10" xfId="0" applyNumberFormat="1" applyFont="1" applyFill="1" applyBorder="1"/>
    <xf numFmtId="1" fontId="18" fillId="11" borderId="11" xfId="0" applyNumberFormat="1" applyFont="1" applyFill="1" applyBorder="1"/>
    <xf numFmtId="164" fontId="18" fillId="11" borderId="11" xfId="0" applyNumberFormat="1" applyFont="1" applyFill="1" applyBorder="1"/>
    <xf numFmtId="2" fontId="18" fillId="11" borderId="11" xfId="0" applyNumberFormat="1" applyFont="1" applyFill="1" applyBorder="1"/>
    <xf numFmtId="2" fontId="18" fillId="11" borderId="9" xfId="0" applyNumberFormat="1" applyFont="1" applyFill="1" applyBorder="1"/>
    <xf numFmtId="0" fontId="19" fillId="0" borderId="0" xfId="0" applyFont="1"/>
    <xf numFmtId="0" fontId="20" fillId="0" borderId="1" xfId="0" applyFont="1" applyBorder="1" applyAlignment="1">
      <alignment horizontal="right"/>
    </xf>
    <xf numFmtId="0" fontId="20" fillId="0" borderId="0" xfId="0" applyFont="1" applyAlignment="1">
      <alignment horizontal="right"/>
    </xf>
    <xf numFmtId="1" fontId="0" fillId="0" borderId="2" xfId="0" applyNumberFormat="1" applyBorder="1"/>
    <xf numFmtId="0" fontId="20" fillId="10" borderId="0" xfId="0" applyFont="1" applyFill="1" applyAlignment="1">
      <alignment horizontal="right"/>
    </xf>
    <xf numFmtId="1" fontId="0" fillId="10" borderId="2" xfId="0" applyNumberFormat="1" applyFill="1" applyBorder="1"/>
    <xf numFmtId="0" fontId="20" fillId="10" borderId="1" xfId="0" applyFont="1" applyFill="1" applyBorder="1" applyAlignment="1">
      <alignment horizontal="right"/>
    </xf>
    <xf numFmtId="165" fontId="0" fillId="10" borderId="2" xfId="0" applyNumberFormat="1" applyFill="1" applyBorder="1"/>
    <xf numFmtId="164" fontId="20" fillId="0" borderId="1" xfId="0" applyNumberFormat="1" applyFont="1" applyBorder="1" applyAlignment="1">
      <alignment horizontal="right"/>
    </xf>
    <xf numFmtId="2" fontId="0" fillId="0" borderId="2" xfId="0" applyNumberFormat="1" applyBorder="1"/>
    <xf numFmtId="0" fontId="20" fillId="0" borderId="7" xfId="0" applyFont="1" applyBorder="1" applyAlignment="1">
      <alignment horizontal="right"/>
    </xf>
    <xf numFmtId="0" fontId="20" fillId="0" borderId="6" xfId="0" applyFont="1" applyBorder="1" applyAlignment="1">
      <alignment horizontal="right"/>
    </xf>
    <xf numFmtId="1" fontId="0" fillId="0" borderId="8" xfId="0" applyNumberFormat="1" applyBorder="1"/>
    <xf numFmtId="0" fontId="20" fillId="10" borderId="6" xfId="0" applyFont="1" applyFill="1" applyBorder="1" applyAlignment="1">
      <alignment horizontal="right"/>
    </xf>
    <xf numFmtId="1" fontId="0" fillId="10" borderId="8" xfId="0" applyNumberFormat="1" applyFill="1" applyBorder="1"/>
    <xf numFmtId="165" fontId="0" fillId="0" borderId="8" xfId="0" applyNumberFormat="1" applyBorder="1"/>
    <xf numFmtId="2" fontId="0" fillId="0" borderId="8" xfId="0" applyNumberFormat="1" applyBorder="1"/>
    <xf numFmtId="0" fontId="20" fillId="10" borderId="7" xfId="0" applyFont="1" applyFill="1" applyBorder="1" applyAlignment="1">
      <alignment horizontal="right"/>
    </xf>
    <xf numFmtId="0" fontId="11" fillId="0" borderId="0" xfId="0" applyFont="1" applyAlignment="1">
      <alignment horizontal="left"/>
    </xf>
    <xf numFmtId="0" fontId="10" fillId="12" borderId="1" xfId="0" applyFont="1" applyFill="1" applyBorder="1" applyAlignment="1">
      <alignment horizontal="center" vertical="top"/>
    </xf>
    <xf numFmtId="0" fontId="10" fillId="12" borderId="2" xfId="0" applyFont="1" applyFill="1" applyBorder="1" applyAlignment="1">
      <alignment horizontal="center" vertical="top"/>
    </xf>
    <xf numFmtId="0" fontId="10" fillId="12" borderId="0" xfId="0" applyFont="1" applyFill="1" applyAlignment="1">
      <alignment horizontal="center" vertical="top"/>
    </xf>
    <xf numFmtId="0" fontId="10" fillId="13" borderId="1" xfId="0" applyFont="1" applyFill="1" applyBorder="1" applyAlignment="1">
      <alignment horizontal="center" vertical="top"/>
    </xf>
    <xf numFmtId="0" fontId="10" fillId="13" borderId="2" xfId="0" applyFont="1" applyFill="1" applyBorder="1" applyAlignment="1">
      <alignment horizontal="center" vertical="top"/>
    </xf>
    <xf numFmtId="0" fontId="10" fillId="13" borderId="0" xfId="0" applyFont="1" applyFill="1" applyAlignment="1">
      <alignment horizontal="center" vertical="top"/>
    </xf>
    <xf numFmtId="0" fontId="2" fillId="0" borderId="0" xfId="0" applyFont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2" fillId="12" borderId="2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top" wrapText="1"/>
    </xf>
    <xf numFmtId="0" fontId="22" fillId="13" borderId="2" xfId="0" applyFont="1" applyFill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22" fillId="0" borderId="2" xfId="0" applyFont="1" applyBorder="1" applyAlignment="1">
      <alignment horizontal="center" vertical="top" wrapText="1"/>
    </xf>
    <xf numFmtId="0" fontId="22" fillId="10" borderId="1" xfId="0" applyFont="1" applyFill="1" applyBorder="1" applyAlignment="1">
      <alignment horizontal="center" vertical="top" wrapText="1"/>
    </xf>
    <xf numFmtId="0" fontId="22" fillId="10" borderId="2" xfId="0" applyFont="1" applyFill="1" applyBorder="1" applyAlignment="1">
      <alignment horizontal="center" vertical="top" wrapText="1"/>
    </xf>
    <xf numFmtId="0" fontId="2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17" fontId="14" fillId="0" borderId="1" xfId="0" applyNumberFormat="1" applyFont="1" applyBorder="1" applyAlignment="1">
      <alignment horizontal="center" vertical="top"/>
    </xf>
    <xf numFmtId="0" fontId="14" fillId="12" borderId="1" xfId="0" applyFont="1" applyFill="1" applyBorder="1" applyAlignment="1">
      <alignment horizontal="center" vertical="top"/>
    </xf>
    <xf numFmtId="0" fontId="14" fillId="12" borderId="2" xfId="0" applyFont="1" applyFill="1" applyBorder="1" applyAlignment="1">
      <alignment horizontal="center" vertical="top"/>
    </xf>
    <xf numFmtId="0" fontId="14" fillId="12" borderId="0" xfId="0" applyFont="1" applyFill="1" applyAlignment="1">
      <alignment horizontal="center" vertical="top"/>
    </xf>
    <xf numFmtId="0" fontId="14" fillId="13" borderId="1" xfId="0" applyFont="1" applyFill="1" applyBorder="1" applyAlignment="1">
      <alignment horizontal="center" vertical="top"/>
    </xf>
    <xf numFmtId="0" fontId="14" fillId="13" borderId="2" xfId="0" applyFont="1" applyFill="1" applyBorder="1" applyAlignment="1">
      <alignment horizontal="center" vertical="top"/>
    </xf>
    <xf numFmtId="0" fontId="14" fillId="13" borderId="0" xfId="0" applyFont="1" applyFill="1" applyAlignment="1">
      <alignment horizontal="center" vertical="top"/>
    </xf>
    <xf numFmtId="49" fontId="15" fillId="0" borderId="1" xfId="0" applyNumberFormat="1" applyFont="1" applyBorder="1" applyAlignment="1">
      <alignment horizontal="center" vertical="top"/>
    </xf>
    <xf numFmtId="0" fontId="14" fillId="10" borderId="0" xfId="0" applyFont="1" applyFill="1" applyAlignment="1">
      <alignment horizontal="center" vertical="top"/>
    </xf>
    <xf numFmtId="49" fontId="15" fillId="10" borderId="1" xfId="0" applyNumberFormat="1" applyFont="1" applyFill="1" applyBorder="1" applyAlignment="1">
      <alignment horizontal="center" vertical="top"/>
    </xf>
    <xf numFmtId="166" fontId="0" fillId="0" borderId="1" xfId="0" applyNumberFormat="1" applyBorder="1"/>
    <xf numFmtId="3" fontId="16" fillId="10" borderId="1" xfId="0" applyNumberFormat="1" applyFont="1" applyFill="1" applyBorder="1"/>
    <xf numFmtId="164" fontId="16" fillId="12" borderId="0" xfId="0" applyNumberFormat="1" applyFont="1" applyFill="1"/>
    <xf numFmtId="164" fontId="0" fillId="12" borderId="2" xfId="0" applyNumberFormat="1" applyFill="1" applyBorder="1"/>
    <xf numFmtId="2" fontId="0" fillId="0" borderId="0" xfId="0" applyNumberFormat="1"/>
    <xf numFmtId="164" fontId="16" fillId="13" borderId="1" xfId="0" applyNumberFormat="1" applyFont="1" applyFill="1" applyBorder="1"/>
    <xf numFmtId="164" fontId="16" fillId="13" borderId="0" xfId="0" applyNumberFormat="1" applyFont="1" applyFill="1"/>
    <xf numFmtId="164" fontId="16" fillId="0" borderId="0" xfId="0" applyNumberFormat="1" applyFont="1"/>
    <xf numFmtId="164" fontId="0" fillId="0" borderId="0" xfId="0" applyNumberFormat="1"/>
    <xf numFmtId="1" fontId="0" fillId="0" borderId="0" xfId="0" applyNumberFormat="1"/>
    <xf numFmtId="1" fontId="0" fillId="10" borderId="1" xfId="0" applyNumberFormat="1" applyFill="1" applyBorder="1"/>
    <xf numFmtId="2" fontId="0" fillId="0" borderId="1" xfId="0" quotePrefix="1" applyNumberFormat="1" applyBorder="1"/>
    <xf numFmtId="1" fontId="17" fillId="10" borderId="1" xfId="0" applyNumberFormat="1" applyFont="1" applyFill="1" applyBorder="1"/>
    <xf numFmtId="1" fontId="17" fillId="10" borderId="1" xfId="0" applyNumberFormat="1" applyFont="1" applyFill="1" applyBorder="1" applyAlignment="1">
      <alignment horizontal="left"/>
    </xf>
    <xf numFmtId="166" fontId="0" fillId="0" borderId="7" xfId="0" applyNumberFormat="1" applyBorder="1"/>
    <xf numFmtId="3" fontId="16" fillId="10" borderId="7" xfId="0" applyNumberFormat="1" applyFont="1" applyFill="1" applyBorder="1"/>
    <xf numFmtId="164" fontId="16" fillId="12" borderId="6" xfId="0" applyNumberFormat="1" applyFont="1" applyFill="1" applyBorder="1"/>
    <xf numFmtId="164" fontId="0" fillId="12" borderId="8" xfId="0" applyNumberFormat="1" applyFill="1" applyBorder="1"/>
    <xf numFmtId="2" fontId="0" fillId="0" borderId="6" xfId="0" applyNumberFormat="1" applyBorder="1"/>
    <xf numFmtId="164" fontId="16" fillId="13" borderId="7" xfId="0" applyNumberFormat="1" applyFont="1" applyFill="1" applyBorder="1"/>
    <xf numFmtId="164" fontId="16" fillId="13" borderId="6" xfId="0" applyNumberFormat="1" applyFont="1" applyFill="1" applyBorder="1"/>
    <xf numFmtId="164" fontId="16" fillId="0" borderId="6" xfId="0" applyNumberFormat="1" applyFont="1" applyBorder="1"/>
    <xf numFmtId="164" fontId="0" fillId="0" borderId="6" xfId="0" applyNumberFormat="1" applyBorder="1"/>
    <xf numFmtId="0" fontId="0" fillId="0" borderId="6" xfId="0" applyBorder="1"/>
    <xf numFmtId="1" fontId="0" fillId="0" borderId="6" xfId="0" applyNumberFormat="1" applyBorder="1"/>
    <xf numFmtId="1" fontId="0" fillId="10" borderId="7" xfId="0" applyNumberFormat="1" applyFill="1" applyBorder="1"/>
    <xf numFmtId="0" fontId="19" fillId="11" borderId="0" xfId="0" applyFont="1" applyFill="1"/>
    <xf numFmtId="164" fontId="23" fillId="11" borderId="1" xfId="0" applyNumberFormat="1" applyFont="1" applyFill="1" applyBorder="1"/>
    <xf numFmtId="164" fontId="0" fillId="11" borderId="2" xfId="0" applyNumberFormat="1" applyFill="1" applyBorder="1"/>
    <xf numFmtId="2" fontId="23" fillId="11" borderId="1" xfId="0" applyNumberFormat="1" applyFont="1" applyFill="1" applyBorder="1"/>
    <xf numFmtId="2" fontId="19" fillId="11" borderId="1" xfId="0" applyNumberFormat="1" applyFont="1" applyFill="1" applyBorder="1"/>
    <xf numFmtId="164" fontId="19" fillId="11" borderId="1" xfId="0" applyNumberFormat="1" applyFont="1" applyFill="1" applyBorder="1"/>
    <xf numFmtId="164" fontId="19" fillId="11" borderId="0" xfId="0" applyNumberFormat="1" applyFont="1" applyFill="1"/>
    <xf numFmtId="0" fontId="20" fillId="0" borderId="1" xfId="0" applyFont="1" applyBorder="1"/>
    <xf numFmtId="0" fontId="20" fillId="0" borderId="7" xfId="0" applyFont="1" applyBorder="1"/>
    <xf numFmtId="165" fontId="0" fillId="10" borderId="8" xfId="0" applyNumberFormat="1" applyFill="1" applyBorder="1"/>
    <xf numFmtId="49" fontId="6" fillId="2" borderId="0" xfId="0" applyNumberFormat="1" applyFont="1" applyFill="1" applyAlignment="1">
      <alignment horizontal="center" vertical="top"/>
    </xf>
    <xf numFmtId="49" fontId="6" fillId="2" borderId="6" xfId="0" applyNumberFormat="1" applyFont="1" applyFill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6" fillId="0" borderId="6" xfId="0" applyNumberFormat="1" applyFont="1" applyBorder="1" applyAlignment="1">
      <alignment horizontal="center" vertical="top"/>
    </xf>
    <xf numFmtId="49" fontId="8" fillId="9" borderId="1" xfId="0" applyNumberFormat="1" applyFont="1" applyFill="1" applyBorder="1" applyAlignment="1">
      <alignment horizontal="center" vertical="top" wrapText="1"/>
    </xf>
    <xf numFmtId="49" fontId="8" fillId="9" borderId="2" xfId="0" applyNumberFormat="1" applyFont="1" applyFill="1" applyBorder="1" applyAlignment="1">
      <alignment horizontal="center" vertical="top" wrapText="1"/>
    </xf>
    <xf numFmtId="49" fontId="7" fillId="0" borderId="0" xfId="0" applyNumberFormat="1" applyFont="1" applyAlignment="1">
      <alignment horizontal="center" vertical="top"/>
    </xf>
    <xf numFmtId="49" fontId="7" fillId="0" borderId="6" xfId="0" applyNumberFormat="1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6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49" fontId="6" fillId="0" borderId="7" xfId="0" applyNumberFormat="1" applyFont="1" applyBorder="1" applyAlignment="1">
      <alignment horizontal="center" vertical="top"/>
    </xf>
    <xf numFmtId="49" fontId="6" fillId="0" borderId="1" xfId="0" applyNumberFormat="1" applyFont="1" applyBorder="1" applyAlignment="1">
      <alignment horizontal="center" vertical="top"/>
    </xf>
    <xf numFmtId="49" fontId="6" fillId="0" borderId="2" xfId="0" applyNumberFormat="1" applyFont="1" applyBorder="1" applyAlignment="1">
      <alignment horizontal="center" vertical="top"/>
    </xf>
    <xf numFmtId="49" fontId="6" fillId="0" borderId="8" xfId="0" applyNumberFormat="1" applyFont="1" applyBorder="1" applyAlignment="1">
      <alignment horizontal="center" vertical="top"/>
    </xf>
    <xf numFmtId="49" fontId="6" fillId="2" borderId="1" xfId="0" applyNumberFormat="1" applyFont="1" applyFill="1" applyBorder="1" applyAlignment="1">
      <alignment horizontal="center" vertical="top"/>
    </xf>
    <xf numFmtId="49" fontId="6" fillId="2" borderId="7" xfId="0" applyNumberFormat="1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9" fontId="5" fillId="0" borderId="7" xfId="0" applyNumberFormat="1" applyFont="1" applyBorder="1" applyAlignment="1">
      <alignment horizontal="center" vertical="top"/>
    </xf>
    <xf numFmtId="49" fontId="5" fillId="0" borderId="8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49" fontId="5" fillId="0" borderId="6" xfId="0" applyNumberFormat="1" applyFon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25" fillId="0" borderId="12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6" fillId="0" borderId="12" xfId="0" applyFont="1" applyBorder="1" applyAlignment="1">
      <alignment vertical="center"/>
    </xf>
    <xf numFmtId="0" fontId="26" fillId="4" borderId="12" xfId="0" applyFont="1" applyFill="1" applyBorder="1" applyAlignment="1">
      <alignment vertical="center"/>
    </xf>
    <xf numFmtId="0" fontId="24" fillId="12" borderId="12" xfId="0" applyFont="1" applyFill="1" applyBorder="1" applyAlignment="1">
      <alignment vertical="center"/>
    </xf>
    <xf numFmtId="0" fontId="26" fillId="12" borderId="12" xfId="0" applyFont="1" applyFill="1" applyBorder="1" applyAlignment="1">
      <alignment vertical="center"/>
    </xf>
    <xf numFmtId="0" fontId="0" fillId="0" borderId="0" xfId="0" applyAlignme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ogel, Mia: WCC" id="{5E38388F-9672-4BA5-9650-6B617CFF21FE}" userId="S::mgogel@westminster.gov.uk::5795bdb0-2943-4711-8485-0ef3e2a801e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3" dT="2025-06-02T06:05:15.57" personId="{5E38388F-9672-4BA5-9650-6B617CFF21FE}" id="{6123115A-050F-484F-85F4-70784E3E559B}">
    <text>Why are some negative?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H3" dT="2025-06-02T06:05:15.57" personId="{5E38388F-9672-4BA5-9650-6B617CFF21FE}" id="{84184572-777D-4072-B6BE-E7D15EF0AC59}">
    <text>Why are some negative?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A04D-3188-44C6-9370-36F87187275F}">
  <dimension ref="A1:H35"/>
  <sheetViews>
    <sheetView zoomScale="85" zoomScaleNormal="85" workbookViewId="0">
      <selection activeCell="B31" sqref="B31"/>
    </sheetView>
  </sheetViews>
  <sheetFormatPr defaultColWidth="33.6640625" defaultRowHeight="14.25" x14ac:dyDescent="0.45"/>
  <cols>
    <col min="1" max="1" width="77.265625" style="212" bestFit="1" customWidth="1"/>
    <col min="2" max="2" width="40.59765625" style="212" bestFit="1" customWidth="1"/>
    <col min="3" max="3" width="24.86328125" style="212" bestFit="1" customWidth="1"/>
    <col min="4" max="4" width="9.9296875" style="212" bestFit="1" customWidth="1"/>
    <col min="5" max="5" width="15.1328125" style="212" bestFit="1" customWidth="1"/>
    <col min="6" max="6" width="46.06640625" style="212" bestFit="1" customWidth="1"/>
    <col min="7" max="8" width="6.19921875" style="212" bestFit="1" customWidth="1"/>
  </cols>
  <sheetData>
    <row r="1" spans="1:8" ht="16.149999999999999" thickBot="1" x14ac:dyDescent="0.5">
      <c r="A1" s="206" t="s">
        <v>184</v>
      </c>
      <c r="B1" s="206" t="s">
        <v>185</v>
      </c>
      <c r="C1" s="206" t="s">
        <v>207</v>
      </c>
      <c r="D1" s="206" t="s">
        <v>186</v>
      </c>
      <c r="E1" s="206" t="s">
        <v>187</v>
      </c>
      <c r="F1" s="206" t="s">
        <v>188</v>
      </c>
      <c r="G1" s="206" t="s">
        <v>189</v>
      </c>
      <c r="H1" s="206" t="s">
        <v>190</v>
      </c>
    </row>
    <row r="2" spans="1:8" ht="16.149999999999999" thickBot="1" x14ac:dyDescent="0.5">
      <c r="A2" s="207" t="s">
        <v>36</v>
      </c>
      <c r="B2" s="207" t="s">
        <v>29</v>
      </c>
      <c r="C2" s="207" t="s">
        <v>2</v>
      </c>
      <c r="D2" s="207" t="s">
        <v>191</v>
      </c>
      <c r="E2" s="207" t="s">
        <v>74</v>
      </c>
      <c r="F2" s="207" t="s">
        <v>80</v>
      </c>
      <c r="G2" s="208" t="s">
        <v>192</v>
      </c>
      <c r="H2" s="208" t="s">
        <v>192</v>
      </c>
    </row>
    <row r="3" spans="1:8" ht="16.149999999999999" thickBot="1" x14ac:dyDescent="0.5">
      <c r="A3" s="207" t="s">
        <v>193</v>
      </c>
      <c r="B3" s="207" t="s">
        <v>29</v>
      </c>
      <c r="C3" s="207" t="s">
        <v>3</v>
      </c>
      <c r="D3" s="207" t="s">
        <v>191</v>
      </c>
      <c r="E3" s="207" t="s">
        <v>74</v>
      </c>
      <c r="F3" s="207" t="s">
        <v>80</v>
      </c>
      <c r="G3" s="208" t="s">
        <v>192</v>
      </c>
      <c r="H3" s="208" t="s">
        <v>192</v>
      </c>
    </row>
    <row r="4" spans="1:8" ht="16.149999999999999" thickBot="1" x14ac:dyDescent="0.5">
      <c r="A4" s="207" t="s">
        <v>38</v>
      </c>
      <c r="B4" s="207" t="s">
        <v>29</v>
      </c>
      <c r="C4" s="207" t="s">
        <v>4</v>
      </c>
      <c r="D4" s="207" t="s">
        <v>194</v>
      </c>
      <c r="E4" s="207" t="s">
        <v>74</v>
      </c>
      <c r="F4" s="207" t="s">
        <v>81</v>
      </c>
      <c r="G4" s="208" t="s">
        <v>192</v>
      </c>
      <c r="H4" s="208" t="s">
        <v>192</v>
      </c>
    </row>
    <row r="5" spans="1:8" ht="16.149999999999999" thickBot="1" x14ac:dyDescent="0.5">
      <c r="A5" s="207" t="s">
        <v>39</v>
      </c>
      <c r="B5" s="207" t="s">
        <v>29</v>
      </c>
      <c r="C5" s="207" t="s">
        <v>4</v>
      </c>
      <c r="D5" s="207" t="s">
        <v>194</v>
      </c>
      <c r="E5" s="207" t="s">
        <v>74</v>
      </c>
      <c r="F5" s="207" t="s">
        <v>81</v>
      </c>
      <c r="G5" s="208" t="s">
        <v>192</v>
      </c>
      <c r="H5" s="208" t="s">
        <v>192</v>
      </c>
    </row>
    <row r="6" spans="1:8" ht="16.149999999999999" thickBot="1" x14ac:dyDescent="0.5">
      <c r="A6" s="207" t="s">
        <v>40</v>
      </c>
      <c r="B6" s="207" t="s">
        <v>29</v>
      </c>
      <c r="C6" s="207" t="s">
        <v>5</v>
      </c>
      <c r="D6" s="207" t="s">
        <v>191</v>
      </c>
      <c r="E6" s="207" t="s">
        <v>74</v>
      </c>
      <c r="F6" s="207" t="s">
        <v>82</v>
      </c>
      <c r="G6" s="208" t="s">
        <v>192</v>
      </c>
      <c r="H6" s="208" t="s">
        <v>192</v>
      </c>
    </row>
    <row r="7" spans="1:8" ht="16.149999999999999" thickBot="1" x14ac:dyDescent="0.5">
      <c r="A7" s="207" t="s">
        <v>41</v>
      </c>
      <c r="B7" s="207" t="s">
        <v>29</v>
      </c>
      <c r="C7" s="207" t="s">
        <v>2</v>
      </c>
      <c r="D7" s="207" t="s">
        <v>194</v>
      </c>
      <c r="E7" s="207" t="s">
        <v>74</v>
      </c>
      <c r="F7" s="207" t="s">
        <v>80</v>
      </c>
      <c r="G7" s="208" t="s">
        <v>192</v>
      </c>
      <c r="H7" s="208" t="s">
        <v>192</v>
      </c>
    </row>
    <row r="8" spans="1:8" ht="16.149999999999999" thickBot="1" x14ac:dyDescent="0.5">
      <c r="A8" s="207" t="s">
        <v>42</v>
      </c>
      <c r="B8" s="207" t="s">
        <v>30</v>
      </c>
      <c r="C8" s="207" t="s">
        <v>6</v>
      </c>
      <c r="D8" s="207" t="s">
        <v>195</v>
      </c>
      <c r="E8" s="207" t="s">
        <v>74</v>
      </c>
      <c r="F8" s="207" t="s">
        <v>83</v>
      </c>
      <c r="G8" s="208" t="s">
        <v>192</v>
      </c>
      <c r="H8" s="208" t="s">
        <v>192</v>
      </c>
    </row>
    <row r="9" spans="1:8" ht="16.149999999999999" thickBot="1" x14ac:dyDescent="0.5">
      <c r="A9" s="207" t="s">
        <v>44</v>
      </c>
      <c r="B9" s="207" t="s">
        <v>30</v>
      </c>
      <c r="C9" s="207" t="s">
        <v>7</v>
      </c>
      <c r="D9" s="207" t="s">
        <v>195</v>
      </c>
      <c r="E9" s="207" t="s">
        <v>74</v>
      </c>
      <c r="F9" s="207" t="s">
        <v>83</v>
      </c>
      <c r="G9" s="208" t="s">
        <v>192</v>
      </c>
      <c r="H9" s="208" t="s">
        <v>192</v>
      </c>
    </row>
    <row r="10" spans="1:8" ht="16.149999999999999" thickBot="1" x14ac:dyDescent="0.5">
      <c r="A10" s="207" t="s">
        <v>46</v>
      </c>
      <c r="B10" s="207" t="s">
        <v>30</v>
      </c>
      <c r="C10" s="207" t="s">
        <v>8</v>
      </c>
      <c r="D10" s="207" t="s">
        <v>191</v>
      </c>
      <c r="E10" s="207" t="s">
        <v>75</v>
      </c>
      <c r="F10" s="207" t="s">
        <v>84</v>
      </c>
      <c r="G10" s="208" t="s">
        <v>192</v>
      </c>
      <c r="H10" s="208" t="s">
        <v>192</v>
      </c>
    </row>
    <row r="11" spans="1:8" ht="16.149999999999999" thickBot="1" x14ac:dyDescent="0.5">
      <c r="A11" s="207" t="s">
        <v>47</v>
      </c>
      <c r="B11" s="207" t="s">
        <v>30</v>
      </c>
      <c r="C11" s="207" t="s">
        <v>8</v>
      </c>
      <c r="D11" s="207" t="s">
        <v>191</v>
      </c>
      <c r="E11" s="207" t="s">
        <v>75</v>
      </c>
      <c r="F11" s="207" t="s">
        <v>84</v>
      </c>
      <c r="G11" s="208" t="s">
        <v>192</v>
      </c>
      <c r="H11" s="208" t="s">
        <v>192</v>
      </c>
    </row>
    <row r="12" spans="1:8" ht="16.149999999999999" thickBot="1" x14ac:dyDescent="0.5">
      <c r="A12" s="207" t="s">
        <v>48</v>
      </c>
      <c r="B12" s="207" t="s">
        <v>31</v>
      </c>
      <c r="C12" s="207" t="s">
        <v>9</v>
      </c>
      <c r="D12" s="207" t="s">
        <v>191</v>
      </c>
      <c r="E12" s="207" t="s">
        <v>75</v>
      </c>
      <c r="F12" s="207" t="s">
        <v>85</v>
      </c>
      <c r="G12" s="208" t="s">
        <v>192</v>
      </c>
      <c r="H12" s="208" t="s">
        <v>192</v>
      </c>
    </row>
    <row r="13" spans="1:8" ht="16.149999999999999" thickBot="1" x14ac:dyDescent="0.5">
      <c r="A13" s="207" t="s">
        <v>49</v>
      </c>
      <c r="B13" s="207" t="s">
        <v>31</v>
      </c>
      <c r="C13" s="207" t="s">
        <v>10</v>
      </c>
      <c r="D13" s="207" t="s">
        <v>191</v>
      </c>
      <c r="E13" s="207" t="s">
        <v>75</v>
      </c>
      <c r="F13" s="207" t="s">
        <v>85</v>
      </c>
      <c r="G13" s="209" t="s">
        <v>196</v>
      </c>
      <c r="H13" s="208" t="s">
        <v>192</v>
      </c>
    </row>
    <row r="14" spans="1:8" ht="16.149999999999999" thickBot="1" x14ac:dyDescent="0.5">
      <c r="A14" s="207" t="s">
        <v>50</v>
      </c>
      <c r="B14" s="207" t="s">
        <v>31</v>
      </c>
      <c r="C14" s="207" t="s">
        <v>11</v>
      </c>
      <c r="D14" s="207" t="s">
        <v>191</v>
      </c>
      <c r="E14" s="207" t="s">
        <v>75</v>
      </c>
      <c r="F14" s="207" t="s">
        <v>85</v>
      </c>
      <c r="G14" s="208" t="s">
        <v>192</v>
      </c>
      <c r="H14" s="208" t="s">
        <v>192</v>
      </c>
    </row>
    <row r="15" spans="1:8" ht="16.149999999999999" thickBot="1" x14ac:dyDescent="0.5">
      <c r="A15" s="207" t="s">
        <v>51</v>
      </c>
      <c r="B15" s="207" t="s">
        <v>31</v>
      </c>
      <c r="C15" s="207" t="s">
        <v>11</v>
      </c>
      <c r="D15" s="207" t="s">
        <v>191</v>
      </c>
      <c r="E15" s="207" t="s">
        <v>74</v>
      </c>
      <c r="F15" s="207" t="s">
        <v>85</v>
      </c>
      <c r="G15" s="208" t="s">
        <v>192</v>
      </c>
      <c r="H15" s="208" t="s">
        <v>192</v>
      </c>
    </row>
    <row r="16" spans="1:8" ht="16.149999999999999" thickBot="1" x14ac:dyDescent="0.5">
      <c r="A16" s="207" t="s">
        <v>52</v>
      </c>
      <c r="B16" s="207" t="s">
        <v>31</v>
      </c>
      <c r="C16" s="207" t="s">
        <v>12</v>
      </c>
      <c r="D16" s="207" t="s">
        <v>191</v>
      </c>
      <c r="E16" s="207" t="s">
        <v>75</v>
      </c>
      <c r="F16" s="207" t="s">
        <v>85</v>
      </c>
      <c r="G16" s="209" t="s">
        <v>196</v>
      </c>
      <c r="H16" s="208" t="s">
        <v>192</v>
      </c>
    </row>
    <row r="17" spans="1:8" ht="16.149999999999999" thickBot="1" x14ac:dyDescent="0.5">
      <c r="A17" s="207" t="s">
        <v>53</v>
      </c>
      <c r="B17" s="207" t="s">
        <v>31</v>
      </c>
      <c r="C17" s="207" t="s">
        <v>13</v>
      </c>
      <c r="D17" s="207" t="s">
        <v>191</v>
      </c>
      <c r="E17" s="207" t="s">
        <v>75</v>
      </c>
      <c r="F17" s="207" t="s">
        <v>85</v>
      </c>
      <c r="G17" s="209" t="s">
        <v>196</v>
      </c>
      <c r="H17" s="208" t="s">
        <v>192</v>
      </c>
    </row>
    <row r="18" spans="1:8" ht="16.149999999999999" thickBot="1" x14ac:dyDescent="0.5">
      <c r="A18" s="207" t="s">
        <v>197</v>
      </c>
      <c r="B18" s="207" t="s">
        <v>31</v>
      </c>
      <c r="C18" s="207" t="s">
        <v>14</v>
      </c>
      <c r="D18" s="207" t="s">
        <v>191</v>
      </c>
      <c r="E18" s="207" t="s">
        <v>75</v>
      </c>
      <c r="F18" s="207" t="s">
        <v>85</v>
      </c>
      <c r="G18" s="208" t="s">
        <v>192</v>
      </c>
      <c r="H18" s="208" t="s">
        <v>192</v>
      </c>
    </row>
    <row r="19" spans="1:8" ht="16.149999999999999" thickBot="1" x14ac:dyDescent="0.5">
      <c r="A19" s="207" t="s">
        <v>55</v>
      </c>
      <c r="B19" s="207" t="s">
        <v>31</v>
      </c>
      <c r="C19" s="207" t="s">
        <v>15</v>
      </c>
      <c r="D19" s="207" t="s">
        <v>191</v>
      </c>
      <c r="E19" s="207" t="s">
        <v>75</v>
      </c>
      <c r="F19" s="207" t="s">
        <v>85</v>
      </c>
      <c r="G19" s="208" t="s">
        <v>192</v>
      </c>
      <c r="H19" s="208" t="s">
        <v>192</v>
      </c>
    </row>
    <row r="20" spans="1:8" ht="15.75" customHeight="1" thickBot="1" x14ac:dyDescent="0.5">
      <c r="A20" s="210" t="s">
        <v>56</v>
      </c>
      <c r="B20" s="210" t="s">
        <v>32</v>
      </c>
      <c r="C20" s="210" t="s">
        <v>16</v>
      </c>
      <c r="D20" s="210" t="s">
        <v>198</v>
      </c>
      <c r="E20" s="210" t="s">
        <v>75</v>
      </c>
      <c r="F20" s="210" t="s">
        <v>199</v>
      </c>
      <c r="G20" s="211" t="s">
        <v>192</v>
      </c>
      <c r="H20" s="211" t="s">
        <v>192</v>
      </c>
    </row>
    <row r="21" spans="1:8" ht="16.149999999999999" thickBot="1" x14ac:dyDescent="0.5">
      <c r="A21" s="210" t="s">
        <v>57</v>
      </c>
      <c r="B21" s="210" t="s">
        <v>32</v>
      </c>
      <c r="C21" s="210" t="s">
        <v>17</v>
      </c>
      <c r="D21" s="210" t="s">
        <v>198</v>
      </c>
      <c r="E21" s="210" t="s">
        <v>75</v>
      </c>
      <c r="F21" s="210" t="s">
        <v>199</v>
      </c>
      <c r="G21" s="211" t="s">
        <v>192</v>
      </c>
      <c r="H21" s="211" t="s">
        <v>192</v>
      </c>
    </row>
    <row r="22" spans="1:8" ht="16.149999999999999" thickBot="1" x14ac:dyDescent="0.5">
      <c r="A22" s="207" t="s">
        <v>58</v>
      </c>
      <c r="B22" s="207" t="s">
        <v>32</v>
      </c>
      <c r="C22" s="207" t="s">
        <v>18</v>
      </c>
      <c r="D22" s="207" t="s">
        <v>191</v>
      </c>
      <c r="E22" s="207" t="s">
        <v>74</v>
      </c>
      <c r="F22" s="207" t="s">
        <v>200</v>
      </c>
      <c r="G22" s="208" t="s">
        <v>192</v>
      </c>
      <c r="H22" s="208" t="s">
        <v>192</v>
      </c>
    </row>
    <row r="23" spans="1:8" ht="16.149999999999999" thickBot="1" x14ac:dyDescent="0.5">
      <c r="A23" s="207" t="s">
        <v>59</v>
      </c>
      <c r="B23" s="207" t="s">
        <v>32</v>
      </c>
      <c r="C23" s="207" t="s">
        <v>19</v>
      </c>
      <c r="D23" s="207" t="s">
        <v>191</v>
      </c>
      <c r="E23" s="207" t="s">
        <v>75</v>
      </c>
      <c r="F23" s="207" t="s">
        <v>200</v>
      </c>
      <c r="G23" s="208" t="s">
        <v>192</v>
      </c>
      <c r="H23" s="208" t="s">
        <v>192</v>
      </c>
    </row>
    <row r="24" spans="1:8" ht="16.149999999999999" thickBot="1" x14ac:dyDescent="0.5">
      <c r="A24" s="207" t="s">
        <v>60</v>
      </c>
      <c r="B24" s="207" t="s">
        <v>32</v>
      </c>
      <c r="C24" s="207" t="s">
        <v>20</v>
      </c>
      <c r="D24" s="207" t="s">
        <v>191</v>
      </c>
      <c r="E24" s="207" t="s">
        <v>74</v>
      </c>
      <c r="F24" s="207" t="s">
        <v>88</v>
      </c>
      <c r="G24" s="208" t="s">
        <v>192</v>
      </c>
      <c r="H24" s="208" t="s">
        <v>192</v>
      </c>
    </row>
    <row r="25" spans="1:8" ht="16.149999999999999" thickBot="1" x14ac:dyDescent="0.5">
      <c r="A25" s="207" t="s">
        <v>201</v>
      </c>
      <c r="B25" s="207" t="s">
        <v>32</v>
      </c>
      <c r="C25" s="207" t="s">
        <v>20</v>
      </c>
      <c r="D25" s="207" t="s">
        <v>191</v>
      </c>
      <c r="E25" s="207" t="s">
        <v>74</v>
      </c>
      <c r="F25" s="207" t="s">
        <v>88</v>
      </c>
      <c r="G25" s="208" t="s">
        <v>192</v>
      </c>
      <c r="H25" s="208" t="s">
        <v>192</v>
      </c>
    </row>
    <row r="26" spans="1:8" ht="16.149999999999999" thickBot="1" x14ac:dyDescent="0.5">
      <c r="A26" s="207" t="s">
        <v>202</v>
      </c>
      <c r="B26" s="207" t="s">
        <v>32</v>
      </c>
      <c r="C26" s="207" t="s">
        <v>20</v>
      </c>
      <c r="D26" s="207" t="s">
        <v>191</v>
      </c>
      <c r="E26" s="207" t="s">
        <v>74</v>
      </c>
      <c r="F26" s="207" t="s">
        <v>88</v>
      </c>
      <c r="G26" s="208" t="s">
        <v>192</v>
      </c>
      <c r="H26" s="208" t="s">
        <v>192</v>
      </c>
    </row>
    <row r="27" spans="1:8" ht="16.149999999999999" thickBot="1" x14ac:dyDescent="0.5">
      <c r="A27" s="207" t="s">
        <v>203</v>
      </c>
      <c r="B27" s="207" t="s">
        <v>32</v>
      </c>
      <c r="C27" s="207" t="s">
        <v>21</v>
      </c>
      <c r="D27" s="207" t="s">
        <v>191</v>
      </c>
      <c r="E27" s="207" t="s">
        <v>74</v>
      </c>
      <c r="F27" s="207" t="s">
        <v>84</v>
      </c>
      <c r="G27" s="208" t="s">
        <v>192</v>
      </c>
      <c r="H27" s="208" t="s">
        <v>192</v>
      </c>
    </row>
    <row r="28" spans="1:8" ht="16.149999999999999" thickBot="1" x14ac:dyDescent="0.5">
      <c r="A28" s="207" t="s">
        <v>64</v>
      </c>
      <c r="B28" s="207" t="s">
        <v>32</v>
      </c>
      <c r="C28" s="207" t="s">
        <v>22</v>
      </c>
      <c r="D28" s="207" t="s">
        <v>191</v>
      </c>
      <c r="E28" s="207" t="s">
        <v>74</v>
      </c>
      <c r="F28" s="207" t="s">
        <v>84</v>
      </c>
      <c r="G28" s="208" t="s">
        <v>192</v>
      </c>
      <c r="H28" s="208" t="s">
        <v>192</v>
      </c>
    </row>
    <row r="29" spans="1:8" ht="16.149999999999999" thickBot="1" x14ac:dyDescent="0.5">
      <c r="A29" s="207" t="s">
        <v>204</v>
      </c>
      <c r="B29" s="207" t="s">
        <v>33</v>
      </c>
      <c r="C29" s="207" t="s">
        <v>23</v>
      </c>
      <c r="D29" s="207" t="s">
        <v>191</v>
      </c>
      <c r="E29" s="207" t="s">
        <v>74</v>
      </c>
      <c r="F29" s="207" t="s">
        <v>205</v>
      </c>
      <c r="G29" s="208" t="s">
        <v>192</v>
      </c>
      <c r="H29" s="208" t="s">
        <v>192</v>
      </c>
    </row>
    <row r="30" spans="1:8" ht="16.149999999999999" thickBot="1" x14ac:dyDescent="0.5">
      <c r="A30" s="207" t="s">
        <v>66</v>
      </c>
      <c r="B30" s="207" t="s">
        <v>33</v>
      </c>
      <c r="C30" s="207" t="s">
        <v>23</v>
      </c>
      <c r="D30" s="207" t="s">
        <v>191</v>
      </c>
      <c r="E30" s="207" t="s">
        <v>74</v>
      </c>
      <c r="F30" s="207" t="s">
        <v>205</v>
      </c>
      <c r="G30" s="208" t="s">
        <v>192</v>
      </c>
      <c r="H30" s="208" t="s">
        <v>192</v>
      </c>
    </row>
    <row r="31" spans="1:8" ht="16.149999999999999" thickBot="1" x14ac:dyDescent="0.5">
      <c r="A31" s="207" t="s">
        <v>67</v>
      </c>
      <c r="B31" s="207" t="s">
        <v>34</v>
      </c>
      <c r="C31" s="207" t="s">
        <v>24</v>
      </c>
      <c r="D31" s="207" t="s">
        <v>206</v>
      </c>
      <c r="E31" s="207" t="s">
        <v>75</v>
      </c>
      <c r="F31" s="207" t="s">
        <v>125</v>
      </c>
      <c r="G31" s="208" t="s">
        <v>192</v>
      </c>
      <c r="H31" s="208" t="s">
        <v>192</v>
      </c>
    </row>
    <row r="32" spans="1:8" ht="16.149999999999999" thickBot="1" x14ac:dyDescent="0.5">
      <c r="A32" s="207" t="s">
        <v>68</v>
      </c>
      <c r="B32" s="207" t="s">
        <v>34</v>
      </c>
      <c r="C32" s="207" t="s">
        <v>25</v>
      </c>
      <c r="D32" s="207" t="s">
        <v>206</v>
      </c>
      <c r="E32" s="207" t="s">
        <v>74</v>
      </c>
      <c r="F32" s="207" t="s">
        <v>91</v>
      </c>
      <c r="G32" s="208" t="s">
        <v>192</v>
      </c>
      <c r="H32" s="208" t="s">
        <v>192</v>
      </c>
    </row>
    <row r="33" spans="1:8" ht="16.149999999999999" thickBot="1" x14ac:dyDescent="0.5">
      <c r="A33" s="207" t="s">
        <v>69</v>
      </c>
      <c r="B33" s="207" t="s">
        <v>34</v>
      </c>
      <c r="C33" s="207" t="s">
        <v>26</v>
      </c>
      <c r="D33" s="207" t="s">
        <v>206</v>
      </c>
      <c r="E33" s="207" t="s">
        <v>74</v>
      </c>
      <c r="F33" s="207" t="s">
        <v>91</v>
      </c>
      <c r="G33" s="208" t="s">
        <v>192</v>
      </c>
      <c r="H33" s="208" t="s">
        <v>192</v>
      </c>
    </row>
    <row r="34" spans="1:8" ht="16.149999999999999" thickBot="1" x14ac:dyDescent="0.5">
      <c r="A34" s="207" t="s">
        <v>70</v>
      </c>
      <c r="B34" s="207" t="s">
        <v>34</v>
      </c>
      <c r="C34" s="207" t="s">
        <v>26</v>
      </c>
      <c r="D34" s="207" t="s">
        <v>206</v>
      </c>
      <c r="E34" s="207" t="s">
        <v>74</v>
      </c>
      <c r="F34" s="207" t="s">
        <v>125</v>
      </c>
      <c r="G34" s="208" t="s">
        <v>192</v>
      </c>
      <c r="H34" s="208" t="s">
        <v>196</v>
      </c>
    </row>
    <row r="35" spans="1:8" ht="16.149999999999999" thickBot="1" x14ac:dyDescent="0.5">
      <c r="A35" s="207" t="s">
        <v>71</v>
      </c>
      <c r="B35" s="207" t="s">
        <v>34</v>
      </c>
      <c r="C35" s="207" t="s">
        <v>27</v>
      </c>
      <c r="D35" s="207" t="s">
        <v>191</v>
      </c>
      <c r="E35" s="207" t="s">
        <v>74</v>
      </c>
      <c r="F35" s="207" t="s">
        <v>93</v>
      </c>
      <c r="G35" s="208" t="s">
        <v>192</v>
      </c>
      <c r="H35" s="208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5E7B-363D-48BF-8872-19A2F37069B5}">
  <dimension ref="A1:BY28"/>
  <sheetViews>
    <sheetView topLeftCell="BN1" workbookViewId="0">
      <selection activeCell="BQ33" sqref="BQ33"/>
    </sheetView>
  </sheetViews>
  <sheetFormatPr defaultRowHeight="14.25" x14ac:dyDescent="0.45"/>
  <cols>
    <col min="1" max="1" width="24.33203125" bestFit="1" customWidth="1"/>
    <col min="2" max="2" width="36.19921875" bestFit="1" customWidth="1"/>
    <col min="3" max="3" width="7.9296875" bestFit="1" customWidth="1"/>
    <col min="4" max="4" width="36.19921875" bestFit="1" customWidth="1"/>
    <col min="5" max="5" width="7.9296875" bestFit="1" customWidth="1"/>
    <col min="6" max="6" width="36.19921875" bestFit="1" customWidth="1"/>
    <col min="7" max="7" width="8.33203125" bestFit="1" customWidth="1"/>
    <col min="8" max="8" width="10.59765625" bestFit="1" customWidth="1"/>
    <col min="9" max="9" width="7.6640625" bestFit="1" customWidth="1"/>
    <col min="10" max="10" width="36.19921875" bestFit="1" customWidth="1"/>
    <col min="11" max="11" width="8.33203125" bestFit="1" customWidth="1"/>
    <col min="12" max="12" width="36.19921875" bestFit="1" customWidth="1"/>
    <col min="13" max="13" width="8.33203125" bestFit="1" customWidth="1"/>
    <col min="14" max="14" width="15.53125" bestFit="1" customWidth="1"/>
    <col min="15" max="15" width="8.33203125" bestFit="1" customWidth="1"/>
    <col min="16" max="16" width="15.53125" bestFit="1" customWidth="1"/>
    <col min="17" max="17" width="8.33203125" bestFit="1" customWidth="1"/>
    <col min="18" max="18" width="15.53125" bestFit="1" customWidth="1"/>
    <col min="19" max="19" width="8.33203125" bestFit="1" customWidth="1"/>
    <col min="20" max="20" width="15.53125" bestFit="1" customWidth="1"/>
    <col min="21" max="21" width="8.33203125" bestFit="1" customWidth="1"/>
    <col min="22" max="22" width="15.53125" bestFit="1" customWidth="1"/>
    <col min="23" max="23" width="8.33203125" bestFit="1" customWidth="1"/>
    <col min="24" max="24" width="8.46484375" bestFit="1" customWidth="1"/>
    <col min="25" max="25" width="8.33203125" bestFit="1" customWidth="1"/>
    <col min="26" max="26" width="34.86328125" bestFit="1" customWidth="1"/>
    <col min="27" max="27" width="8.33203125" bestFit="1" customWidth="1"/>
    <col min="28" max="28" width="34.86328125" bestFit="1" customWidth="1"/>
    <col min="29" max="29" width="8.33203125" bestFit="1" customWidth="1"/>
    <col min="30" max="30" width="34.86328125" bestFit="1" customWidth="1"/>
    <col min="31" max="31" width="8.33203125" bestFit="1" customWidth="1"/>
    <col min="32" max="32" width="8.46484375" bestFit="1" customWidth="1"/>
    <col min="33" max="33" width="8.33203125" bestFit="1" customWidth="1"/>
    <col min="34" max="34" width="34.86328125" bestFit="1" customWidth="1"/>
    <col min="35" max="35" width="8.33203125" bestFit="1" customWidth="1"/>
    <col min="36" max="36" width="34.86328125" bestFit="1" customWidth="1"/>
    <col min="37" max="37" width="8.33203125" bestFit="1" customWidth="1"/>
    <col min="38" max="38" width="34.86328125" bestFit="1" customWidth="1"/>
    <col min="39" max="39" width="8.33203125" bestFit="1" customWidth="1"/>
    <col min="40" max="40" width="34.86328125" bestFit="1" customWidth="1"/>
    <col min="41" max="41" width="8.33203125" bestFit="1" customWidth="1"/>
    <col min="42" max="42" width="29.796875" bestFit="1" customWidth="1"/>
    <col min="43" max="43" width="8.33203125" bestFit="1" customWidth="1"/>
    <col min="44" max="44" width="29.796875" bestFit="1" customWidth="1"/>
    <col min="45" max="45" width="8.33203125" bestFit="1" customWidth="1"/>
    <col min="46" max="46" width="29.796875" bestFit="1" customWidth="1"/>
    <col min="47" max="47" width="8.33203125" bestFit="1" customWidth="1"/>
    <col min="48" max="48" width="29.796875" bestFit="1" customWidth="1"/>
    <col min="49" max="49" width="8.33203125" bestFit="1" customWidth="1"/>
    <col min="50" max="50" width="29.796875" bestFit="1" customWidth="1"/>
    <col min="51" max="51" width="8.33203125" bestFit="1" customWidth="1"/>
    <col min="52" max="52" width="8.46484375" bestFit="1" customWidth="1"/>
    <col min="53" max="53" width="8.33203125" bestFit="1" customWidth="1"/>
    <col min="54" max="54" width="8.46484375" bestFit="1" customWidth="1"/>
    <col min="55" max="55" width="8.33203125" bestFit="1" customWidth="1"/>
    <col min="56" max="56" width="29.796875" bestFit="1" customWidth="1"/>
    <col min="57" max="57" width="8.33203125" bestFit="1" customWidth="1"/>
    <col min="58" max="58" width="29.796875" bestFit="1" customWidth="1"/>
    <col min="59" max="59" width="8.33203125" bestFit="1" customWidth="1"/>
    <col min="60" max="60" width="24.73046875" bestFit="1" customWidth="1"/>
    <col min="61" max="61" width="8.33203125" bestFit="1" customWidth="1"/>
    <col min="62" max="62" width="24.73046875" bestFit="1" customWidth="1"/>
    <col min="63" max="63" width="8.33203125" bestFit="1" customWidth="1"/>
    <col min="64" max="64" width="29.53125" bestFit="1" customWidth="1"/>
    <col min="65" max="65" width="8.33203125" bestFit="1" customWidth="1"/>
    <col min="66" max="66" width="10.19921875" bestFit="1" customWidth="1"/>
    <col min="67" max="67" width="29.53125" bestFit="1" customWidth="1"/>
    <col min="68" max="68" width="10.19921875" bestFit="1" customWidth="1"/>
    <col min="69" max="69" width="29.53125" bestFit="1" customWidth="1"/>
    <col min="70" max="70" width="10.19921875" bestFit="1" customWidth="1"/>
    <col min="71" max="71" width="23.9296875" customWidth="1"/>
    <col min="72" max="72" width="15.3984375" bestFit="1" customWidth="1"/>
    <col min="73" max="73" width="29.53125" bestFit="1" customWidth="1"/>
    <col min="74" max="74" width="10.19921875" bestFit="1" customWidth="1"/>
    <col min="75" max="75" width="29.53125" bestFit="1" customWidth="1"/>
    <col min="76" max="76" width="15.3984375" bestFit="1" customWidth="1"/>
    <col min="77" max="77" width="29.53125" bestFit="1" customWidth="1"/>
  </cols>
  <sheetData>
    <row r="1" spans="1:77" ht="15.75" x14ac:dyDescent="0.5">
      <c r="A1" s="1" t="s">
        <v>1</v>
      </c>
      <c r="B1" s="200" t="s">
        <v>2</v>
      </c>
      <c r="C1" s="197"/>
      <c r="D1" s="203" t="s">
        <v>3</v>
      </c>
      <c r="E1" s="204"/>
      <c r="F1" s="196" t="s">
        <v>4</v>
      </c>
      <c r="G1" s="202"/>
      <c r="H1" s="202"/>
      <c r="I1" s="202"/>
      <c r="J1" s="200" t="s">
        <v>5</v>
      </c>
      <c r="K1" s="197"/>
      <c r="L1" s="196" t="s">
        <v>2</v>
      </c>
      <c r="M1" s="197"/>
      <c r="N1" s="191" t="s">
        <v>6</v>
      </c>
      <c r="O1" s="192"/>
      <c r="P1" s="194" t="s">
        <v>6</v>
      </c>
      <c r="Q1" s="179"/>
      <c r="R1" s="181" t="s">
        <v>7</v>
      </c>
      <c r="S1" s="181"/>
      <c r="T1" s="179" t="s">
        <v>7</v>
      </c>
      <c r="U1" s="179"/>
      <c r="V1" s="181" t="s">
        <v>8</v>
      </c>
      <c r="W1" s="181"/>
      <c r="X1" s="181"/>
      <c r="Y1" s="192"/>
      <c r="Z1" s="191" t="s">
        <v>9</v>
      </c>
      <c r="AA1" s="192"/>
      <c r="AB1" s="189" t="s">
        <v>10</v>
      </c>
      <c r="AC1" s="187"/>
      <c r="AD1" s="188" t="s">
        <v>11</v>
      </c>
      <c r="AE1" s="188"/>
      <c r="AF1" s="188"/>
      <c r="AG1" s="188"/>
      <c r="AH1" s="181" t="s">
        <v>12</v>
      </c>
      <c r="AI1" s="181"/>
      <c r="AJ1" s="181" t="s">
        <v>13</v>
      </c>
      <c r="AK1" s="181"/>
      <c r="AL1" s="181" t="s">
        <v>14</v>
      </c>
      <c r="AM1" s="181"/>
      <c r="AN1" s="181" t="s">
        <v>15</v>
      </c>
      <c r="AO1" s="181"/>
      <c r="AP1" s="181" t="s">
        <v>16</v>
      </c>
      <c r="AQ1" s="181"/>
      <c r="AR1" s="181" t="s">
        <v>17</v>
      </c>
      <c r="AS1" s="181"/>
      <c r="AT1" s="185" t="s">
        <v>18</v>
      </c>
      <c r="AU1" s="185"/>
      <c r="AV1" s="185" t="s">
        <v>19</v>
      </c>
      <c r="AW1" s="185"/>
      <c r="AX1" s="187" t="s">
        <v>20</v>
      </c>
      <c r="AY1" s="187"/>
      <c r="AZ1" s="187"/>
      <c r="BA1" s="187"/>
      <c r="BB1" s="187"/>
      <c r="BC1" s="187"/>
      <c r="BD1" s="181" t="s">
        <v>21</v>
      </c>
      <c r="BE1" s="181"/>
      <c r="BF1" s="181" t="s">
        <v>22</v>
      </c>
      <c r="BG1" s="181"/>
      <c r="BH1" s="181" t="s">
        <v>23</v>
      </c>
      <c r="BI1" s="181"/>
      <c r="BJ1" s="181"/>
      <c r="BK1" s="181"/>
      <c r="BL1" s="185" t="s">
        <v>24</v>
      </c>
      <c r="BM1" s="185"/>
      <c r="BN1" s="181" t="s">
        <v>25</v>
      </c>
      <c r="BO1" s="181"/>
      <c r="BP1" s="181" t="s">
        <v>26</v>
      </c>
      <c r="BQ1" s="181"/>
      <c r="BR1" s="181" t="s">
        <v>26</v>
      </c>
      <c r="BS1" s="181"/>
      <c r="BT1" s="181" t="s">
        <v>26</v>
      </c>
      <c r="BU1" s="181"/>
      <c r="BV1" s="181" t="s">
        <v>27</v>
      </c>
      <c r="BW1" s="181"/>
      <c r="BX1" s="181" t="s">
        <v>27</v>
      </c>
      <c r="BY1" s="181"/>
    </row>
    <row r="2" spans="1:77" ht="15.75" x14ac:dyDescent="0.45">
      <c r="A2" s="1" t="s">
        <v>28</v>
      </c>
      <c r="B2" s="201" t="s">
        <v>29</v>
      </c>
      <c r="C2" s="199"/>
      <c r="D2" s="198" t="s">
        <v>29</v>
      </c>
      <c r="E2" s="199"/>
      <c r="F2" s="198" t="s">
        <v>29</v>
      </c>
      <c r="G2" s="201"/>
      <c r="H2" s="201"/>
      <c r="I2" s="201"/>
      <c r="J2" s="201" t="s">
        <v>29</v>
      </c>
      <c r="K2" s="199"/>
      <c r="L2" s="198" t="s">
        <v>29</v>
      </c>
      <c r="M2" s="199"/>
      <c r="N2" s="190" t="s">
        <v>30</v>
      </c>
      <c r="O2" s="193"/>
      <c r="P2" s="195" t="s">
        <v>30</v>
      </c>
      <c r="Q2" s="180"/>
      <c r="R2" s="182" t="s">
        <v>30</v>
      </c>
      <c r="S2" s="182"/>
      <c r="T2" s="180" t="s">
        <v>30</v>
      </c>
      <c r="U2" s="180"/>
      <c r="V2" s="182" t="s">
        <v>30</v>
      </c>
      <c r="W2" s="182"/>
      <c r="X2" s="182"/>
      <c r="Y2" s="193"/>
      <c r="Z2" s="190" t="s">
        <v>31</v>
      </c>
      <c r="AA2" s="193"/>
      <c r="AB2" s="190" t="s">
        <v>31</v>
      </c>
      <c r="AC2" s="182"/>
      <c r="AD2" s="182" t="s">
        <v>31</v>
      </c>
      <c r="AE2" s="182"/>
      <c r="AF2" s="182"/>
      <c r="AG2" s="182"/>
      <c r="AH2" s="182" t="s">
        <v>31</v>
      </c>
      <c r="AI2" s="182"/>
      <c r="AJ2" s="182" t="s">
        <v>31</v>
      </c>
      <c r="AK2" s="182"/>
      <c r="AL2" s="182" t="s">
        <v>31</v>
      </c>
      <c r="AM2" s="182"/>
      <c r="AN2" s="182" t="s">
        <v>31</v>
      </c>
      <c r="AO2" s="182"/>
      <c r="AP2" s="182" t="s">
        <v>32</v>
      </c>
      <c r="AQ2" s="182"/>
      <c r="AR2" s="182" t="s">
        <v>32</v>
      </c>
      <c r="AS2" s="182"/>
      <c r="AT2" s="182" t="s">
        <v>32</v>
      </c>
      <c r="AU2" s="182"/>
      <c r="AV2" s="182" t="s">
        <v>32</v>
      </c>
      <c r="AW2" s="182"/>
      <c r="AX2" s="182" t="s">
        <v>32</v>
      </c>
      <c r="AY2" s="182"/>
      <c r="AZ2" s="182"/>
      <c r="BA2" s="182"/>
      <c r="BB2" s="182"/>
      <c r="BC2" s="182"/>
      <c r="BD2" s="182" t="s">
        <v>32</v>
      </c>
      <c r="BE2" s="182"/>
      <c r="BF2" s="182" t="s">
        <v>32</v>
      </c>
      <c r="BG2" s="182"/>
      <c r="BH2" s="186" t="s">
        <v>33</v>
      </c>
      <c r="BI2" s="186"/>
      <c r="BJ2" s="185" t="s">
        <v>33</v>
      </c>
      <c r="BK2" s="185"/>
      <c r="BL2" s="182" t="s">
        <v>34</v>
      </c>
      <c r="BM2" s="182"/>
      <c r="BN2" s="182" t="s">
        <v>34</v>
      </c>
      <c r="BO2" s="182"/>
      <c r="BP2" s="182" t="s">
        <v>34</v>
      </c>
      <c r="BQ2" s="182"/>
      <c r="BR2" s="182" t="s">
        <v>34</v>
      </c>
      <c r="BS2" s="182"/>
      <c r="BT2" s="181" t="s">
        <v>34</v>
      </c>
      <c r="BU2" s="181"/>
      <c r="BV2" s="180" t="s">
        <v>34</v>
      </c>
      <c r="BW2" s="180"/>
      <c r="BX2" s="182" t="s">
        <v>34</v>
      </c>
      <c r="BY2" s="182"/>
    </row>
    <row r="3" spans="1:77" ht="15.75" x14ac:dyDescent="0.45">
      <c r="A3" s="3" t="s">
        <v>35</v>
      </c>
      <c r="B3" s="4" t="s">
        <v>36</v>
      </c>
      <c r="C3" s="5"/>
      <c r="D3" s="4" t="s">
        <v>37</v>
      </c>
      <c r="E3" s="5"/>
      <c r="F3" s="4" t="s">
        <v>38</v>
      </c>
      <c r="G3" s="5"/>
      <c r="H3" s="4" t="s">
        <v>39</v>
      </c>
      <c r="I3" s="6"/>
      <c r="J3" s="6" t="s">
        <v>40</v>
      </c>
      <c r="K3" s="5"/>
      <c r="L3" s="4" t="s">
        <v>41</v>
      </c>
      <c r="M3" s="5"/>
      <c r="N3" s="7" t="s">
        <v>42</v>
      </c>
      <c r="O3" s="8"/>
      <c r="P3" s="9" t="s">
        <v>43</v>
      </c>
      <c r="Q3" s="10"/>
      <c r="R3" s="7" t="s">
        <v>44</v>
      </c>
      <c r="S3" s="8"/>
      <c r="T3" s="11" t="s">
        <v>45</v>
      </c>
      <c r="U3" s="10"/>
      <c r="V3" s="7" t="s">
        <v>46</v>
      </c>
      <c r="W3" s="8"/>
      <c r="X3" s="7" t="s">
        <v>47</v>
      </c>
      <c r="Y3" s="8"/>
      <c r="Z3" s="12" t="s">
        <v>48</v>
      </c>
      <c r="AA3" s="13"/>
      <c r="AB3" s="14" t="s">
        <v>49</v>
      </c>
      <c r="AC3" s="15"/>
      <c r="AD3" s="12" t="s">
        <v>50</v>
      </c>
      <c r="AE3" s="13"/>
      <c r="AF3" s="12" t="s">
        <v>51</v>
      </c>
      <c r="AG3" s="13"/>
      <c r="AH3" s="12" t="s">
        <v>52</v>
      </c>
      <c r="AI3" s="13"/>
      <c r="AJ3" s="12" t="s">
        <v>53</v>
      </c>
      <c r="AK3" s="13"/>
      <c r="AL3" s="12" t="s">
        <v>54</v>
      </c>
      <c r="AM3" s="13"/>
      <c r="AN3" s="12" t="s">
        <v>55</v>
      </c>
      <c r="AO3" s="13"/>
      <c r="AP3" s="16" t="s">
        <v>56</v>
      </c>
      <c r="AQ3" s="17"/>
      <c r="AR3" s="16" t="s">
        <v>57</v>
      </c>
      <c r="AS3" s="17"/>
      <c r="AT3" s="16" t="s">
        <v>58</v>
      </c>
      <c r="AU3" s="17"/>
      <c r="AV3" s="16" t="s">
        <v>59</v>
      </c>
      <c r="AW3" s="17"/>
      <c r="AX3" s="18" t="s">
        <v>60</v>
      </c>
      <c r="AY3" s="19"/>
      <c r="AZ3" s="18" t="s">
        <v>61</v>
      </c>
      <c r="BA3" s="19"/>
      <c r="BB3" s="20" t="s">
        <v>62</v>
      </c>
      <c r="BC3" s="21"/>
      <c r="BD3" s="22" t="s">
        <v>63</v>
      </c>
      <c r="BE3" s="23"/>
      <c r="BF3" s="16" t="s">
        <v>64</v>
      </c>
      <c r="BG3" s="17"/>
      <c r="BH3" s="24" t="s">
        <v>65</v>
      </c>
      <c r="BI3" s="25"/>
      <c r="BJ3" s="26" t="s">
        <v>66</v>
      </c>
      <c r="BK3" s="27"/>
      <c r="BL3" s="28" t="s">
        <v>67</v>
      </c>
      <c r="BM3" s="29"/>
      <c r="BN3" s="28" t="s">
        <v>68</v>
      </c>
      <c r="BO3" s="29"/>
      <c r="BP3" s="28" t="s">
        <v>69</v>
      </c>
      <c r="BQ3" s="29"/>
      <c r="BR3" s="28" t="s">
        <v>70</v>
      </c>
      <c r="BS3" s="29"/>
      <c r="BT3" s="183" t="s">
        <v>129</v>
      </c>
      <c r="BU3" s="184"/>
      <c r="BV3" s="28" t="s">
        <v>71</v>
      </c>
      <c r="BW3" s="29"/>
      <c r="BX3" s="28" t="s">
        <v>72</v>
      </c>
      <c r="BY3" s="29"/>
    </row>
    <row r="4" spans="1:77" s="117" customFormat="1" ht="15.75" x14ac:dyDescent="0.45">
      <c r="A4" s="110" t="s">
        <v>73</v>
      </c>
      <c r="B4" s="30" t="s">
        <v>74</v>
      </c>
      <c r="C4" s="31"/>
      <c r="D4" s="30" t="s">
        <v>74</v>
      </c>
      <c r="E4" s="31"/>
      <c r="F4" s="30" t="s">
        <v>74</v>
      </c>
      <c r="G4" s="31"/>
      <c r="H4" s="30" t="s">
        <v>74</v>
      </c>
      <c r="I4" s="31"/>
      <c r="J4" s="30" t="s">
        <v>74</v>
      </c>
      <c r="K4" s="31"/>
      <c r="L4" s="30" t="s">
        <v>74</v>
      </c>
      <c r="M4" s="31"/>
      <c r="N4" s="30" t="s">
        <v>74</v>
      </c>
      <c r="O4" s="31"/>
      <c r="P4" s="35" t="s">
        <v>74</v>
      </c>
      <c r="Q4" s="34"/>
      <c r="R4" s="30" t="s">
        <v>74</v>
      </c>
      <c r="S4" s="31"/>
      <c r="T4" s="35" t="s">
        <v>74</v>
      </c>
      <c r="U4" s="34"/>
      <c r="V4" s="30" t="s">
        <v>75</v>
      </c>
      <c r="W4" s="31"/>
      <c r="X4" s="30" t="s">
        <v>75</v>
      </c>
      <c r="Y4" s="31"/>
      <c r="Z4" s="30" t="s">
        <v>75</v>
      </c>
      <c r="AA4" s="31"/>
      <c r="AB4" s="111" t="s">
        <v>75</v>
      </c>
      <c r="AC4" s="112"/>
      <c r="AD4" s="30" t="s">
        <v>75</v>
      </c>
      <c r="AE4" s="31"/>
      <c r="AF4" s="30" t="s">
        <v>76</v>
      </c>
      <c r="AG4" s="31"/>
      <c r="AH4" s="111" t="s">
        <v>75</v>
      </c>
      <c r="AI4" s="113"/>
      <c r="AJ4" s="111" t="s">
        <v>75</v>
      </c>
      <c r="AK4" s="112"/>
      <c r="AL4" s="32" t="s">
        <v>75</v>
      </c>
      <c r="AM4" s="31"/>
      <c r="AN4" s="30" t="s">
        <v>75</v>
      </c>
      <c r="AO4" s="31"/>
      <c r="AP4" s="114" t="s">
        <v>75</v>
      </c>
      <c r="AQ4" s="115"/>
      <c r="AR4" s="116" t="s">
        <v>75</v>
      </c>
      <c r="AS4" s="115"/>
      <c r="AT4" s="32" t="s">
        <v>74</v>
      </c>
      <c r="AU4" s="31"/>
      <c r="AV4" s="32" t="s">
        <v>75</v>
      </c>
      <c r="AW4" s="31"/>
      <c r="AX4" s="32" t="s">
        <v>74</v>
      </c>
      <c r="AY4" s="31"/>
      <c r="AZ4" s="32" t="s">
        <v>74</v>
      </c>
      <c r="BA4" s="31"/>
      <c r="BB4" s="32" t="s">
        <v>74</v>
      </c>
      <c r="BC4" s="31"/>
      <c r="BD4" s="32" t="s">
        <v>74</v>
      </c>
      <c r="BE4" s="31"/>
      <c r="BF4" s="32" t="s">
        <v>74</v>
      </c>
      <c r="BG4" s="31"/>
      <c r="BH4" s="32" t="s">
        <v>74</v>
      </c>
      <c r="BI4" s="31"/>
      <c r="BJ4" s="32" t="s">
        <v>74</v>
      </c>
      <c r="BK4" s="31"/>
      <c r="BL4" s="32" t="s">
        <v>77</v>
      </c>
      <c r="BM4" s="31"/>
      <c r="BN4" s="30" t="s">
        <v>78</v>
      </c>
      <c r="BO4" s="31"/>
      <c r="BP4" s="30" t="s">
        <v>78</v>
      </c>
      <c r="BQ4" s="31"/>
      <c r="BR4" s="30" t="s">
        <v>78</v>
      </c>
      <c r="BS4" s="31"/>
      <c r="BT4" s="35" t="s">
        <v>78</v>
      </c>
      <c r="BU4" s="34"/>
      <c r="BV4" s="30" t="s">
        <v>78</v>
      </c>
      <c r="BW4" s="31"/>
      <c r="BX4" s="35" t="s">
        <v>78</v>
      </c>
      <c r="BY4" s="34"/>
    </row>
    <row r="5" spans="1:77" s="131" customFormat="1" ht="45" customHeight="1" x14ac:dyDescent="0.45">
      <c r="A5" s="118" t="s">
        <v>79</v>
      </c>
      <c r="B5" s="119" t="s">
        <v>80</v>
      </c>
      <c r="C5" s="120"/>
      <c r="D5" s="119" t="s">
        <v>80</v>
      </c>
      <c r="E5" s="120"/>
      <c r="F5" s="119" t="s">
        <v>81</v>
      </c>
      <c r="G5" s="120"/>
      <c r="H5" s="38" t="s">
        <v>81</v>
      </c>
      <c r="I5" s="39"/>
      <c r="J5" s="119" t="s">
        <v>82</v>
      </c>
      <c r="K5" s="120"/>
      <c r="L5" s="119" t="s">
        <v>80</v>
      </c>
      <c r="M5" s="120"/>
      <c r="N5" s="119" t="s">
        <v>83</v>
      </c>
      <c r="O5" s="120"/>
      <c r="P5" s="121" t="s">
        <v>83</v>
      </c>
      <c r="Q5" s="122"/>
      <c r="R5" s="119" t="s">
        <v>83</v>
      </c>
      <c r="S5" s="120"/>
      <c r="T5" s="121" t="s">
        <v>83</v>
      </c>
      <c r="U5" s="122"/>
      <c r="V5" s="119" t="s">
        <v>84</v>
      </c>
      <c r="W5" s="120"/>
      <c r="X5" s="119" t="s">
        <v>84</v>
      </c>
      <c r="Y5" s="120"/>
      <c r="Z5" s="119" t="s">
        <v>85</v>
      </c>
      <c r="AA5" s="120"/>
      <c r="AB5" s="123" t="s">
        <v>85</v>
      </c>
      <c r="AC5" s="124"/>
      <c r="AD5" s="119" t="s">
        <v>85</v>
      </c>
      <c r="AE5" s="120"/>
      <c r="AF5" s="119" t="s">
        <v>85</v>
      </c>
      <c r="AG5" s="120"/>
      <c r="AH5" s="123" t="s">
        <v>85</v>
      </c>
      <c r="AI5" s="124"/>
      <c r="AJ5" s="123" t="s">
        <v>85</v>
      </c>
      <c r="AK5" s="124"/>
      <c r="AL5" s="119" t="s">
        <v>85</v>
      </c>
      <c r="AM5" s="120"/>
      <c r="AN5" s="119" t="s">
        <v>85</v>
      </c>
      <c r="AO5" s="120"/>
      <c r="AP5" s="125" t="s">
        <v>123</v>
      </c>
      <c r="AQ5" s="126"/>
      <c r="AR5" s="125" t="s">
        <v>123</v>
      </c>
      <c r="AS5" s="126"/>
      <c r="AT5" s="127" t="s">
        <v>87</v>
      </c>
      <c r="AU5" s="128"/>
      <c r="AV5" s="127" t="s">
        <v>87</v>
      </c>
      <c r="AW5" s="128"/>
      <c r="AX5" s="127" t="s">
        <v>88</v>
      </c>
      <c r="AY5" s="128"/>
      <c r="AZ5" s="127" t="s">
        <v>88</v>
      </c>
      <c r="BA5" s="128"/>
      <c r="BB5" s="127" t="s">
        <v>88</v>
      </c>
      <c r="BC5" s="128"/>
      <c r="BD5" s="127" t="s">
        <v>84</v>
      </c>
      <c r="BE5" s="128"/>
      <c r="BF5" s="127" t="s">
        <v>84</v>
      </c>
      <c r="BG5" s="128"/>
      <c r="BH5" s="127" t="s">
        <v>124</v>
      </c>
      <c r="BI5" s="128"/>
      <c r="BJ5" s="127" t="s">
        <v>124</v>
      </c>
      <c r="BK5" s="128"/>
      <c r="BL5" s="127" t="s">
        <v>125</v>
      </c>
      <c r="BM5" s="128"/>
      <c r="BN5" s="127" t="s">
        <v>91</v>
      </c>
      <c r="BO5" s="128"/>
      <c r="BP5" s="127" t="s">
        <v>91</v>
      </c>
      <c r="BQ5" s="128"/>
      <c r="BR5" s="127" t="s">
        <v>125</v>
      </c>
      <c r="BS5" s="128"/>
      <c r="BT5" s="129" t="s">
        <v>125</v>
      </c>
      <c r="BU5" s="130"/>
      <c r="BV5" s="127" t="s">
        <v>93</v>
      </c>
      <c r="BW5" s="128"/>
      <c r="BX5" s="129" t="s">
        <v>93</v>
      </c>
      <c r="BY5" s="130"/>
    </row>
    <row r="6" spans="1:77" ht="18.75" customHeight="1" x14ac:dyDescent="0.45">
      <c r="A6" s="1" t="s">
        <v>94</v>
      </c>
      <c r="B6" s="47" t="s">
        <v>126</v>
      </c>
      <c r="C6" s="48" t="s">
        <v>127</v>
      </c>
      <c r="D6" s="47" t="s">
        <v>126</v>
      </c>
      <c r="E6" s="48" t="s">
        <v>127</v>
      </c>
      <c r="F6" s="47" t="s">
        <v>126</v>
      </c>
      <c r="G6" s="49" t="s">
        <v>127</v>
      </c>
      <c r="H6" s="47" t="s">
        <v>95</v>
      </c>
      <c r="I6" s="49" t="s">
        <v>96</v>
      </c>
      <c r="J6" s="132" t="s">
        <v>126</v>
      </c>
      <c r="K6" s="49" t="s">
        <v>127</v>
      </c>
      <c r="L6" s="133" t="s">
        <v>126</v>
      </c>
      <c r="M6" s="49" t="s">
        <v>127</v>
      </c>
      <c r="N6" s="47" t="s">
        <v>126</v>
      </c>
      <c r="O6" s="49" t="s">
        <v>127</v>
      </c>
      <c r="P6" s="52">
        <v>2025</v>
      </c>
      <c r="Q6" s="51" t="s">
        <v>127</v>
      </c>
      <c r="R6" s="47" t="s">
        <v>126</v>
      </c>
      <c r="S6" s="49" t="s">
        <v>127</v>
      </c>
      <c r="T6" s="52" t="s">
        <v>126</v>
      </c>
      <c r="U6" s="51" t="s">
        <v>127</v>
      </c>
      <c r="V6" s="47">
        <v>2025</v>
      </c>
      <c r="W6" s="49" t="s">
        <v>127</v>
      </c>
      <c r="X6" s="47">
        <v>2025</v>
      </c>
      <c r="Y6" s="49" t="s">
        <v>127</v>
      </c>
      <c r="Z6" s="47">
        <v>2025</v>
      </c>
      <c r="AA6" s="49" t="s">
        <v>127</v>
      </c>
      <c r="AB6" s="134">
        <v>2025</v>
      </c>
      <c r="AC6" s="135" t="s">
        <v>127</v>
      </c>
      <c r="AD6" s="47">
        <v>2025</v>
      </c>
      <c r="AE6" s="49" t="s">
        <v>127</v>
      </c>
      <c r="AF6" s="47">
        <v>2025</v>
      </c>
      <c r="AG6" s="49" t="s">
        <v>127</v>
      </c>
      <c r="AH6" s="134">
        <v>2025</v>
      </c>
      <c r="AI6" s="136" t="s">
        <v>127</v>
      </c>
      <c r="AJ6" s="134">
        <v>2025</v>
      </c>
      <c r="AK6" s="135" t="s">
        <v>127</v>
      </c>
      <c r="AL6" s="50">
        <v>2025</v>
      </c>
      <c r="AM6" s="49" t="s">
        <v>127</v>
      </c>
      <c r="AN6" s="47">
        <v>2025</v>
      </c>
      <c r="AO6" s="49" t="s">
        <v>127</v>
      </c>
      <c r="AP6" s="137">
        <v>2025</v>
      </c>
      <c r="AQ6" s="138" t="s">
        <v>127</v>
      </c>
      <c r="AR6" s="139">
        <v>2025</v>
      </c>
      <c r="AS6" s="138" t="s">
        <v>127</v>
      </c>
      <c r="AT6" s="50">
        <v>2025</v>
      </c>
      <c r="AU6" s="49" t="s">
        <v>127</v>
      </c>
      <c r="AV6" s="47" t="s">
        <v>126</v>
      </c>
      <c r="AW6" s="49" t="s">
        <v>127</v>
      </c>
      <c r="AX6" s="47" t="s">
        <v>126</v>
      </c>
      <c r="AY6" s="49" t="s">
        <v>127</v>
      </c>
      <c r="AZ6" s="47">
        <v>2025</v>
      </c>
      <c r="BA6" s="49" t="s">
        <v>127</v>
      </c>
      <c r="BB6" s="47">
        <v>2025</v>
      </c>
      <c r="BC6" s="49" t="s">
        <v>127</v>
      </c>
      <c r="BD6" s="47">
        <v>2025</v>
      </c>
      <c r="BE6" s="49" t="s">
        <v>127</v>
      </c>
      <c r="BF6" s="47">
        <v>2025</v>
      </c>
      <c r="BG6" s="49" t="s">
        <v>127</v>
      </c>
      <c r="BH6" s="140" t="s">
        <v>126</v>
      </c>
      <c r="BI6" s="49" t="s">
        <v>127</v>
      </c>
      <c r="BJ6" s="140" t="s">
        <v>126</v>
      </c>
      <c r="BK6" s="49" t="s">
        <v>127</v>
      </c>
      <c r="BL6" s="50">
        <v>2025</v>
      </c>
      <c r="BM6" s="50" t="s">
        <v>127</v>
      </c>
      <c r="BN6" s="140" t="s">
        <v>126</v>
      </c>
      <c r="BO6" s="49" t="s">
        <v>127</v>
      </c>
      <c r="BP6" s="140" t="s">
        <v>126</v>
      </c>
      <c r="BQ6" s="49" t="s">
        <v>127</v>
      </c>
      <c r="BR6" s="140" t="s">
        <v>126</v>
      </c>
      <c r="BS6" s="49" t="s">
        <v>127</v>
      </c>
      <c r="BT6" s="141" t="s">
        <v>126</v>
      </c>
      <c r="BU6" s="141" t="s">
        <v>127</v>
      </c>
      <c r="BV6" s="140" t="s">
        <v>126</v>
      </c>
      <c r="BW6" s="49" t="s">
        <v>127</v>
      </c>
      <c r="BX6" s="142" t="s">
        <v>126</v>
      </c>
      <c r="BY6" s="51" t="s">
        <v>127</v>
      </c>
    </row>
    <row r="7" spans="1:77" x14ac:dyDescent="0.45">
      <c r="A7" s="56" t="s">
        <v>100</v>
      </c>
      <c r="B7" s="57"/>
      <c r="C7" s="58">
        <v>8.5508641877602348E-2</v>
      </c>
      <c r="D7" s="57"/>
      <c r="E7" s="58">
        <v>2.8169014084507022E-2</v>
      </c>
      <c r="F7" s="143"/>
      <c r="G7" s="58">
        <v>0.20689655172413787</v>
      </c>
      <c r="H7" s="59"/>
      <c r="I7" s="58">
        <v>-1.72413793103449E-2</v>
      </c>
      <c r="J7" s="59"/>
      <c r="K7" s="58">
        <v>4.0053113129948206E-2</v>
      </c>
      <c r="L7" s="57"/>
      <c r="M7" s="58">
        <v>0</v>
      </c>
      <c r="N7" s="61"/>
      <c r="O7" s="58">
        <v>0</v>
      </c>
      <c r="P7" s="144"/>
      <c r="Q7" s="63">
        <v>0</v>
      </c>
      <c r="R7" s="2"/>
      <c r="S7" s="58">
        <v>0</v>
      </c>
      <c r="T7" s="64"/>
      <c r="U7" s="63">
        <v>0</v>
      </c>
      <c r="V7" s="57"/>
      <c r="W7" s="58">
        <v>2.3076923076923096E-2</v>
      </c>
      <c r="X7" s="57"/>
      <c r="Y7" s="58">
        <v>0</v>
      </c>
      <c r="Z7" s="65"/>
      <c r="AA7" s="58">
        <v>0.59689073056825837</v>
      </c>
      <c r="AB7" s="145">
        <v>0</v>
      </c>
      <c r="AC7" s="146" t="s">
        <v>128</v>
      </c>
      <c r="AD7" s="59"/>
      <c r="AE7" s="58">
        <v>0.14213197969543107</v>
      </c>
      <c r="AF7" s="59"/>
      <c r="AG7" s="58">
        <v>0.26324870594034999</v>
      </c>
      <c r="AH7" s="145">
        <v>0</v>
      </c>
      <c r="AI7" s="146" t="s">
        <v>128</v>
      </c>
      <c r="AJ7" s="145">
        <v>0</v>
      </c>
      <c r="AK7" s="146" t="s">
        <v>128</v>
      </c>
      <c r="AL7" s="147"/>
      <c r="AM7" s="58">
        <v>0.48233387358184543</v>
      </c>
      <c r="AN7" s="65"/>
      <c r="AO7" s="58">
        <v>0.999664879356567</v>
      </c>
      <c r="AP7" s="149">
        <v>88.5170071502165</v>
      </c>
      <c r="AQ7" s="58">
        <f>(AP7-AQ$26)/AQ$28</f>
        <v>0.80988671738410722</v>
      </c>
      <c r="AR7" s="148">
        <v>86.91797369300572</v>
      </c>
      <c r="AS7" s="58">
        <v>0.7672722715297271</v>
      </c>
      <c r="AT7" s="150"/>
      <c r="AU7" s="58">
        <v>0.29144266386921092</v>
      </c>
      <c r="AV7" s="59"/>
      <c r="AW7" s="58">
        <v>0.1943444730077121</v>
      </c>
      <c r="AX7" s="57"/>
      <c r="AY7" s="58">
        <v>0.12681421283706015</v>
      </c>
      <c r="AZ7" s="59"/>
      <c r="BA7" s="58">
        <v>0.15211459754433843</v>
      </c>
      <c r="BB7" s="151"/>
      <c r="BC7" s="58">
        <v>0.11851851851851851</v>
      </c>
      <c r="BD7" s="59"/>
      <c r="BE7" s="58">
        <v>1</v>
      </c>
      <c r="BF7" s="59"/>
      <c r="BG7" s="58">
        <v>0.68269230769230771</v>
      </c>
      <c r="BH7" s="68"/>
      <c r="BI7" s="58">
        <v>0.15162454873646208</v>
      </c>
      <c r="BJ7">
        <v>30</v>
      </c>
      <c r="BK7" s="58">
        <v>0.16564417177914109</v>
      </c>
      <c r="BL7" s="152"/>
      <c r="BM7" s="151">
        <v>0.25236150114883837</v>
      </c>
      <c r="BN7" s="150"/>
      <c r="BO7" s="58">
        <v>0.25236150114883837</v>
      </c>
      <c r="BP7" s="150"/>
      <c r="BQ7" s="151">
        <v>0.28960261295590617</v>
      </c>
      <c r="BR7" s="68"/>
      <c r="BS7" s="58">
        <v>6.168999481596682E-2</v>
      </c>
      <c r="BT7" s="153"/>
      <c r="BU7" s="63">
        <v>0.23847695390781562</v>
      </c>
      <c r="BV7" s="68">
        <v>39</v>
      </c>
      <c r="BW7" s="58">
        <v>0.17682926829268292</v>
      </c>
      <c r="BX7" s="153">
        <v>39</v>
      </c>
      <c r="BY7" s="63">
        <v>0.46774193548387094</v>
      </c>
    </row>
    <row r="8" spans="1:77" x14ac:dyDescent="0.45">
      <c r="A8" s="56" t="s">
        <v>101</v>
      </c>
      <c r="B8" s="57"/>
      <c r="C8" s="58">
        <v>0.18922422162397601</v>
      </c>
      <c r="D8" s="57"/>
      <c r="E8" s="58">
        <v>0.14084507042253519</v>
      </c>
      <c r="F8" s="143"/>
      <c r="G8" s="58">
        <v>0.26724137931034481</v>
      </c>
      <c r="H8" s="59"/>
      <c r="I8" s="58">
        <v>-4.8275862068965524E-2</v>
      </c>
      <c r="J8" s="59"/>
      <c r="K8" s="58">
        <v>0.28692023216429741</v>
      </c>
      <c r="L8" s="57"/>
      <c r="M8" s="58">
        <v>0.19230769230769237</v>
      </c>
      <c r="N8" s="61"/>
      <c r="O8" s="58">
        <v>6.4724919093851127E-2</v>
      </c>
      <c r="P8" s="144"/>
      <c r="Q8" s="63">
        <v>0.2857142857142857</v>
      </c>
      <c r="R8" s="2"/>
      <c r="S8" s="58">
        <v>4.4802867383512544E-2</v>
      </c>
      <c r="T8" s="64"/>
      <c r="U8" s="63">
        <v>0.40485829959514169</v>
      </c>
      <c r="V8" s="57"/>
      <c r="W8" s="58">
        <v>1</v>
      </c>
      <c r="X8" s="57"/>
      <c r="Y8" s="58">
        <v>0.82222222222222219</v>
      </c>
      <c r="Z8" s="65"/>
      <c r="AA8" s="58">
        <v>0.10982392459347887</v>
      </c>
      <c r="AB8" s="145">
        <v>0</v>
      </c>
      <c r="AC8" s="146" t="s">
        <v>128</v>
      </c>
      <c r="AD8" s="59"/>
      <c r="AE8" s="58">
        <v>0.21827411167512659</v>
      </c>
      <c r="AF8" s="59"/>
      <c r="AG8" s="58">
        <v>0.49765836825240317</v>
      </c>
      <c r="AH8" s="145">
        <v>0</v>
      </c>
      <c r="AI8" s="146" t="s">
        <v>128</v>
      </c>
      <c r="AJ8" s="145">
        <v>0</v>
      </c>
      <c r="AK8" s="146" t="s">
        <v>128</v>
      </c>
      <c r="AL8" s="147"/>
      <c r="AM8" s="58">
        <v>0</v>
      </c>
      <c r="AN8" s="154"/>
      <c r="AO8" s="58">
        <v>0.94235924932975745</v>
      </c>
      <c r="AP8" s="149">
        <v>85.463314625082418</v>
      </c>
      <c r="AQ8" s="58">
        <f>(AP8-AQ$26)/AQ$28</f>
        <v>0.44595243429025411</v>
      </c>
      <c r="AR8" s="148">
        <v>85.467715895522176</v>
      </c>
      <c r="AS8" s="58">
        <v>0.66327977845985908</v>
      </c>
      <c r="AT8" s="150"/>
      <c r="AU8" s="58">
        <v>0.13343065822631611</v>
      </c>
      <c r="AV8" s="59"/>
      <c r="AW8" s="58">
        <v>0</v>
      </c>
      <c r="AX8" s="57"/>
      <c r="AY8" s="58">
        <v>0.13843207464572027</v>
      </c>
      <c r="AZ8" s="59"/>
      <c r="BA8" s="58">
        <v>8.9358799454297408E-2</v>
      </c>
      <c r="BB8" s="151"/>
      <c r="BC8" s="58">
        <v>5.1851851851851885E-2</v>
      </c>
      <c r="BD8" s="59"/>
      <c r="BE8" s="58">
        <v>0.46043165467625896</v>
      </c>
      <c r="BF8" s="59"/>
      <c r="BG8" s="58">
        <v>0.45192307692307682</v>
      </c>
      <c r="BH8" s="68"/>
      <c r="BI8" s="58">
        <v>0.28158844765342961</v>
      </c>
      <c r="BJ8">
        <v>48</v>
      </c>
      <c r="BK8" s="58">
        <v>0.27607361963190186</v>
      </c>
      <c r="BL8" s="152"/>
      <c r="BM8" s="151">
        <v>0.84851579362684804</v>
      </c>
      <c r="BN8" s="150"/>
      <c r="BO8" s="58">
        <v>0.84851579362684804</v>
      </c>
      <c r="BP8" s="150"/>
      <c r="BQ8" s="151">
        <v>0.25857376156777351</v>
      </c>
      <c r="BR8" s="68"/>
      <c r="BS8" s="58">
        <v>0.19336443753240021</v>
      </c>
      <c r="BT8" s="153"/>
      <c r="BU8" s="63">
        <v>0.74749498997995989</v>
      </c>
      <c r="BV8" s="68">
        <v>26</v>
      </c>
      <c r="BW8" s="58">
        <v>9.7560975609756101E-2</v>
      </c>
      <c r="BX8" s="153">
        <v>26</v>
      </c>
      <c r="BY8" s="63">
        <v>0.25806451612903225</v>
      </c>
    </row>
    <row r="9" spans="1:77" x14ac:dyDescent="0.45">
      <c r="A9" s="56" t="s">
        <v>102</v>
      </c>
      <c r="B9" s="57"/>
      <c r="C9" s="58">
        <v>0.94360945940113472</v>
      </c>
      <c r="D9" s="57"/>
      <c r="E9" s="58">
        <v>1</v>
      </c>
      <c r="F9" s="143"/>
      <c r="G9" s="58">
        <v>9.4827586206896575E-2</v>
      </c>
      <c r="H9" s="59"/>
      <c r="I9" s="58">
        <v>0.55603448275862066</v>
      </c>
      <c r="J9" s="59"/>
      <c r="K9" s="58">
        <v>0.46800591346465237</v>
      </c>
      <c r="L9" s="57"/>
      <c r="M9" s="58">
        <v>1</v>
      </c>
      <c r="N9" s="61"/>
      <c r="O9" s="58">
        <v>4.8543689320388349E-2</v>
      </c>
      <c r="P9" s="144"/>
      <c r="Q9" s="63">
        <v>0.21428571428571427</v>
      </c>
      <c r="R9" s="2"/>
      <c r="S9" s="58">
        <v>0.11066308243727599</v>
      </c>
      <c r="T9" s="64"/>
      <c r="U9" s="63">
        <v>1</v>
      </c>
      <c r="V9" s="57"/>
      <c r="W9" s="58">
        <v>0.64999999999999969</v>
      </c>
      <c r="X9" s="57"/>
      <c r="Y9" s="58">
        <v>0.8666666666666667</v>
      </c>
      <c r="Z9" s="65"/>
      <c r="AA9" s="58">
        <v>0.38006401411476975</v>
      </c>
      <c r="AB9" s="145">
        <v>0</v>
      </c>
      <c r="AC9" s="146" t="s">
        <v>128</v>
      </c>
      <c r="AD9" s="59"/>
      <c r="AE9" s="58">
        <v>0.24365482233502508</v>
      </c>
      <c r="AF9" s="59"/>
      <c r="AG9" s="58">
        <v>1</v>
      </c>
      <c r="AH9" s="145">
        <v>0</v>
      </c>
      <c r="AI9" s="146" t="s">
        <v>128</v>
      </c>
      <c r="AJ9" s="145">
        <v>0</v>
      </c>
      <c r="AK9" s="146" t="s">
        <v>128</v>
      </c>
      <c r="AL9" s="147"/>
      <c r="AM9" s="58">
        <v>0.44562398703403588</v>
      </c>
      <c r="AN9" s="154"/>
      <c r="AO9" s="58">
        <v>0.83587853165601012</v>
      </c>
      <c r="AP9" s="149">
        <v>85.672728243248997</v>
      </c>
      <c r="AQ9" s="58">
        <f>(AP9-AQ$26)/AQ$28</f>
        <v>0.47091002067796595</v>
      </c>
      <c r="AR9" s="148">
        <v>79.871483716937192</v>
      </c>
      <c r="AS9" s="58">
        <v>0.26199516750400975</v>
      </c>
      <c r="AT9" s="150"/>
      <c r="AU9" s="58">
        <v>0.76105750280397921</v>
      </c>
      <c r="AV9" s="59"/>
      <c r="AW9" s="58">
        <v>1</v>
      </c>
      <c r="AX9" s="57"/>
      <c r="AY9" s="58">
        <v>0.89330262472763611</v>
      </c>
      <c r="AZ9" s="59"/>
      <c r="BA9" s="58">
        <v>0.88472032742155504</v>
      </c>
      <c r="BB9" s="151"/>
      <c r="BC9" s="58">
        <v>0.96543209876543212</v>
      </c>
      <c r="BD9" s="59"/>
      <c r="BE9" s="58">
        <v>0.69064748201438819</v>
      </c>
      <c r="BF9" s="59"/>
      <c r="BG9" s="58">
        <v>0.38461538461538458</v>
      </c>
      <c r="BH9" s="68"/>
      <c r="BI9" s="58">
        <v>1</v>
      </c>
      <c r="BJ9">
        <v>166</v>
      </c>
      <c r="BK9" s="58">
        <v>1</v>
      </c>
      <c r="BL9" s="152"/>
      <c r="BM9" s="151">
        <v>0.24271822127323786</v>
      </c>
      <c r="BN9" s="150"/>
      <c r="BO9" s="58">
        <v>0.24271822127323786</v>
      </c>
      <c r="BP9" s="150"/>
      <c r="BQ9" s="151">
        <v>0.56668481219379419</v>
      </c>
      <c r="BR9" s="68"/>
      <c r="BS9" s="58">
        <v>8.7610160705028514E-2</v>
      </c>
      <c r="BT9" s="153"/>
      <c r="BU9" s="63">
        <v>0.33867735470941884</v>
      </c>
      <c r="BV9" s="68">
        <v>17</v>
      </c>
      <c r="BW9" s="58">
        <v>4.2682926829268296E-2</v>
      </c>
      <c r="BX9" s="153">
        <v>17</v>
      </c>
      <c r="BY9" s="63">
        <v>0.11290322580645161</v>
      </c>
    </row>
    <row r="10" spans="1:77" x14ac:dyDescent="0.45">
      <c r="A10" s="56" t="s">
        <v>103</v>
      </c>
      <c r="B10" s="57"/>
      <c r="C10" s="58">
        <v>0.65028770433032668</v>
      </c>
      <c r="D10" s="57"/>
      <c r="E10" s="58">
        <v>0.67605633802816911</v>
      </c>
      <c r="F10" s="143"/>
      <c r="G10" s="58">
        <v>0.10344827586206894</v>
      </c>
      <c r="H10" s="59"/>
      <c r="I10" s="58">
        <v>0.26120689655172408</v>
      </c>
      <c r="J10" s="59"/>
      <c r="K10" s="58">
        <v>0.16597752172848812</v>
      </c>
      <c r="L10" s="57"/>
      <c r="M10" s="58">
        <v>0.34134615384615385</v>
      </c>
      <c r="N10" s="61"/>
      <c r="O10" s="58">
        <v>1.2944983818770227E-2</v>
      </c>
      <c r="P10" s="144"/>
      <c r="Q10" s="63">
        <v>5.7142857142857141E-2</v>
      </c>
      <c r="R10" s="2"/>
      <c r="S10" s="58">
        <v>6.5860215053763438E-2</v>
      </c>
      <c r="T10" s="64"/>
      <c r="U10" s="63">
        <v>0.59514170040485825</v>
      </c>
      <c r="V10" s="57"/>
      <c r="W10" s="58">
        <v>0.32692307692307676</v>
      </c>
      <c r="X10" s="57"/>
      <c r="Y10" s="58">
        <v>0.51111111111111107</v>
      </c>
      <c r="Z10" s="65"/>
      <c r="AA10" s="58">
        <v>0.6706439865185827</v>
      </c>
      <c r="AB10" s="145">
        <v>0</v>
      </c>
      <c r="AC10" s="146" t="s">
        <v>128</v>
      </c>
      <c r="AD10" s="59"/>
      <c r="AE10" s="58">
        <v>0.29949238578680182</v>
      </c>
      <c r="AF10" s="59"/>
      <c r="AG10" s="58">
        <v>0.81538082326842487</v>
      </c>
      <c r="AH10" s="145">
        <v>0</v>
      </c>
      <c r="AI10" s="146" t="s">
        <v>128</v>
      </c>
      <c r="AJ10" s="145">
        <v>0</v>
      </c>
      <c r="AK10" s="146" t="s">
        <v>128</v>
      </c>
      <c r="AL10" s="147"/>
      <c r="AM10" s="58">
        <v>0.63608028924074267</v>
      </c>
      <c r="AN10" s="154"/>
      <c r="AO10" s="58">
        <v>0.9743632707774782</v>
      </c>
      <c r="AP10" s="149">
        <v>83.468991962710291</v>
      </c>
      <c r="AQ10" s="58">
        <f>(AP10-AQ$26)/AQ$28</f>
        <v>0.20827218900873018</v>
      </c>
      <c r="AR10" s="148">
        <v>79.613151002636926</v>
      </c>
      <c r="AS10" s="58">
        <v>0.24347110712784381</v>
      </c>
      <c r="AT10" s="150"/>
      <c r="AU10" s="58">
        <v>0.65473556430501867</v>
      </c>
      <c r="AV10" s="59"/>
      <c r="AW10" s="58">
        <v>0.60257069408740371</v>
      </c>
      <c r="AX10" s="57"/>
      <c r="AY10" s="58">
        <v>0.68202965653035208</v>
      </c>
      <c r="AZ10" s="59"/>
      <c r="BA10" s="58">
        <v>0.72032742155525231</v>
      </c>
      <c r="BB10" s="151"/>
      <c r="BC10" s="58">
        <v>0.71234567901234569</v>
      </c>
      <c r="BD10" s="59"/>
      <c r="BE10" s="58">
        <v>0.30215827338129492</v>
      </c>
      <c r="BF10" s="59"/>
      <c r="BG10" s="58">
        <v>0.45192307692307682</v>
      </c>
      <c r="BH10" s="68"/>
      <c r="BI10" s="58">
        <v>0.5126353790613718</v>
      </c>
      <c r="BJ10">
        <v>93</v>
      </c>
      <c r="BK10" s="58">
        <v>0.55214723926380371</v>
      </c>
      <c r="BL10" s="152"/>
      <c r="BM10" s="151">
        <v>0.77126511476779536</v>
      </c>
      <c r="BN10" s="150"/>
      <c r="BO10" s="58">
        <v>0.77126511476779536</v>
      </c>
      <c r="BP10" s="150"/>
      <c r="BQ10" s="151">
        <v>0.11105062602068586</v>
      </c>
      <c r="BR10" s="68"/>
      <c r="BS10" s="58">
        <v>6.2208398133748059E-2</v>
      </c>
      <c r="BT10" s="153"/>
      <c r="BU10" s="63">
        <v>0.24048096192384769</v>
      </c>
      <c r="BV10" s="68">
        <v>21</v>
      </c>
      <c r="BW10" s="58">
        <v>6.7073170731707321E-2</v>
      </c>
      <c r="BX10" s="153">
        <v>21</v>
      </c>
      <c r="BY10" s="63">
        <v>0.17741935483870969</v>
      </c>
    </row>
    <row r="11" spans="1:77" ht="15.75" customHeight="1" x14ac:dyDescent="0.45">
      <c r="A11" s="56" t="s">
        <v>104</v>
      </c>
      <c r="B11" s="57"/>
      <c r="C11" s="58">
        <v>0.45351410016413213</v>
      </c>
      <c r="D11" s="57"/>
      <c r="E11" s="58">
        <v>0.4929577464788733</v>
      </c>
      <c r="F11" s="143"/>
      <c r="G11" s="58">
        <v>0.27586206896551724</v>
      </c>
      <c r="H11" s="59"/>
      <c r="I11" s="58">
        <v>-9.3965517241379304E-2</v>
      </c>
      <c r="J11" s="59"/>
      <c r="K11" s="58">
        <v>0.16352379908510867</v>
      </c>
      <c r="L11" s="57"/>
      <c r="M11" s="58">
        <v>0.68269230769230793</v>
      </c>
      <c r="N11" s="61"/>
      <c r="O11" s="58">
        <v>0.22653721682847897</v>
      </c>
      <c r="P11" s="144"/>
      <c r="Q11" s="63">
        <v>1</v>
      </c>
      <c r="R11" s="2"/>
      <c r="S11" s="58">
        <v>0.22446236559139784</v>
      </c>
      <c r="T11" s="69" t="s">
        <v>105</v>
      </c>
      <c r="U11" s="70"/>
      <c r="V11" s="57"/>
      <c r="W11" s="58">
        <v>0</v>
      </c>
      <c r="X11" s="57"/>
      <c r="Y11" s="58">
        <v>0.26666666666666666</v>
      </c>
      <c r="Z11" s="65"/>
      <c r="AA11" s="58">
        <v>0.14978850460313442</v>
      </c>
      <c r="AB11" s="145">
        <v>0</v>
      </c>
      <c r="AC11" s="146" t="s">
        <v>128</v>
      </c>
      <c r="AD11" s="59"/>
      <c r="AE11" s="58">
        <v>0</v>
      </c>
      <c r="AF11" s="59"/>
      <c r="AG11" s="58">
        <v>0.81439487305891045</v>
      </c>
      <c r="AH11" s="145">
        <v>0</v>
      </c>
      <c r="AI11" s="146" t="s">
        <v>128</v>
      </c>
      <c r="AJ11" s="145">
        <v>0</v>
      </c>
      <c r="AK11" s="146" t="s">
        <v>128</v>
      </c>
      <c r="AL11" s="147"/>
      <c r="AM11" s="58">
        <v>0.36506816665077541</v>
      </c>
      <c r="AN11" s="65"/>
      <c r="AO11" s="58">
        <v>0.52153911771874284</v>
      </c>
      <c r="AP11" s="149">
        <v>89.855646276018192</v>
      </c>
      <c r="AQ11" s="58">
        <f>(AP11-AQ$26)/AQ$28</f>
        <v>0.96942362771813961</v>
      </c>
      <c r="AR11" s="148">
        <v>86.529685576771186</v>
      </c>
      <c r="AS11" s="58">
        <v>0.73942960155291548</v>
      </c>
      <c r="AT11" s="150"/>
      <c r="AU11" s="58">
        <v>0.11244990404800104</v>
      </c>
      <c r="AV11" s="59"/>
      <c r="AW11" s="58">
        <v>0.55295629820051428</v>
      </c>
      <c r="AX11" s="57"/>
      <c r="AY11" s="58">
        <v>0.10354048726602999</v>
      </c>
      <c r="AZ11" s="59"/>
      <c r="BA11" s="58">
        <v>8.9358799454297408E-2</v>
      </c>
      <c r="BB11" s="151"/>
      <c r="BC11" s="58">
        <v>0.16296296296296303</v>
      </c>
      <c r="BD11" s="59"/>
      <c r="BE11" s="58">
        <v>8.6330935251798524E-2</v>
      </c>
      <c r="BF11" s="59"/>
      <c r="BG11" s="58">
        <v>0.17307692307692302</v>
      </c>
      <c r="BH11" s="68"/>
      <c r="BI11" s="58">
        <v>0.3971119133574007</v>
      </c>
      <c r="BJ11">
        <v>57</v>
      </c>
      <c r="BK11" s="58">
        <v>0.33128834355828218</v>
      </c>
      <c r="BL11" s="152"/>
      <c r="BM11" s="151">
        <v>0.10475317381112632</v>
      </c>
      <c r="BN11" s="150"/>
      <c r="BO11" s="58">
        <v>0.10475317381112632</v>
      </c>
      <c r="BP11" s="150"/>
      <c r="BQ11" s="151">
        <v>0.49591725639629824</v>
      </c>
      <c r="BR11" s="68"/>
      <c r="BS11" s="58">
        <v>4.0435458786936239E-2</v>
      </c>
      <c r="BT11" s="153"/>
      <c r="BU11" s="63">
        <v>0.15631262525050099</v>
      </c>
      <c r="BV11" s="68">
        <v>60</v>
      </c>
      <c r="BW11" s="58">
        <v>0.3048780487804878</v>
      </c>
      <c r="BX11" s="153">
        <v>60</v>
      </c>
      <c r="BY11" s="63">
        <v>0.80645161290322576</v>
      </c>
    </row>
    <row r="12" spans="1:77" x14ac:dyDescent="0.45">
      <c r="A12" s="56" t="s">
        <v>106</v>
      </c>
      <c r="B12" s="57"/>
      <c r="C12" s="58">
        <v>0.27881971073771949</v>
      </c>
      <c r="D12" s="57"/>
      <c r="E12" s="58">
        <v>0.3098591549295775</v>
      </c>
      <c r="F12" s="143"/>
      <c r="G12" s="58">
        <v>0.30172413793103448</v>
      </c>
      <c r="H12" s="59"/>
      <c r="I12" s="58">
        <v>-0.19051724137931031</v>
      </c>
      <c r="J12" s="59"/>
      <c r="K12" s="58">
        <v>0.56072867044180796</v>
      </c>
      <c r="L12" s="57"/>
      <c r="M12" s="58">
        <v>0.31730769230769229</v>
      </c>
      <c r="N12" s="61"/>
      <c r="O12" s="58">
        <v>0.14886731391585761</v>
      </c>
      <c r="P12" s="144"/>
      <c r="Q12" s="63">
        <v>0.65714285714285714</v>
      </c>
      <c r="R12" s="2"/>
      <c r="S12" s="58">
        <v>9.4982078853046589E-2</v>
      </c>
      <c r="T12" s="64"/>
      <c r="U12" s="63">
        <v>0.8582995951417004</v>
      </c>
      <c r="V12" s="57"/>
      <c r="W12" s="58">
        <v>0.32307692307692293</v>
      </c>
      <c r="X12" s="57"/>
      <c r="Y12" s="58">
        <v>0.15555555555555556</v>
      </c>
      <c r="Z12" s="65"/>
      <c r="AA12" s="58">
        <v>0.83021513196929342</v>
      </c>
      <c r="AB12" s="145">
        <v>0</v>
      </c>
      <c r="AC12" s="146" t="s">
        <v>128</v>
      </c>
      <c r="AD12" s="59"/>
      <c r="AE12" s="58">
        <v>0.22842639593908598</v>
      </c>
      <c r="AF12" s="59"/>
      <c r="AG12" s="58">
        <v>0.37047079122504312</v>
      </c>
      <c r="AH12" s="145">
        <v>0</v>
      </c>
      <c r="AI12" s="146" t="s">
        <v>128</v>
      </c>
      <c r="AJ12" s="145">
        <v>0</v>
      </c>
      <c r="AK12" s="146" t="s">
        <v>128</v>
      </c>
      <c r="AL12" s="147"/>
      <c r="AM12" s="58">
        <v>0.90138386734821252</v>
      </c>
      <c r="AN12" s="154"/>
      <c r="AO12" s="58">
        <v>0.95460404207052785</v>
      </c>
      <c r="AP12" s="149">
        <v>90.112205890817535</v>
      </c>
      <c r="AQ12" s="58">
        <f>(AP12-AQ$26)/AQ$28</f>
        <v>1</v>
      </c>
      <c r="AR12" s="148">
        <v>90.163546454473078</v>
      </c>
      <c r="AS12" s="58">
        <v>1</v>
      </c>
      <c r="AT12" s="150"/>
      <c r="AU12" s="58">
        <v>0.18864603278460371</v>
      </c>
      <c r="AV12" s="59"/>
      <c r="AW12" s="58">
        <v>0.44987146529562982</v>
      </c>
      <c r="AX12" s="57"/>
      <c r="AY12" s="58">
        <v>9.4253148893702191E-2</v>
      </c>
      <c r="AZ12" s="59"/>
      <c r="BA12" s="58">
        <v>8.7312414733970015E-2</v>
      </c>
      <c r="BB12" s="151"/>
      <c r="BC12" s="58">
        <v>0.10493827160493829</v>
      </c>
      <c r="BD12" s="59"/>
      <c r="BE12" s="58">
        <v>0.21582733812949637</v>
      </c>
      <c r="BF12" s="59"/>
      <c r="BG12" s="58">
        <v>0</v>
      </c>
      <c r="BH12" s="68"/>
      <c r="BI12" s="58">
        <v>0.11552346570397112</v>
      </c>
      <c r="BJ12">
        <v>23</v>
      </c>
      <c r="BK12" s="58">
        <v>0.12269938650306748</v>
      </c>
      <c r="BL12" s="152"/>
      <c r="BM12" s="151">
        <v>6.9081161371179242E-2</v>
      </c>
      <c r="BN12" s="150"/>
      <c r="BO12" s="58">
        <v>6.9081161371179242E-2</v>
      </c>
      <c r="BP12" s="150"/>
      <c r="BQ12" s="151">
        <v>0.64833968426782795</v>
      </c>
      <c r="BR12" s="68"/>
      <c r="BS12" s="58">
        <v>6.0653188180404355E-2</v>
      </c>
      <c r="BT12" s="153"/>
      <c r="BU12" s="63">
        <v>0.23446893787575152</v>
      </c>
      <c r="BV12" s="68">
        <v>72</v>
      </c>
      <c r="BW12" s="58">
        <v>0.37804878048780488</v>
      </c>
      <c r="BX12" s="153">
        <v>72</v>
      </c>
      <c r="BY12" s="63">
        <v>1</v>
      </c>
    </row>
    <row r="13" spans="1:77" x14ac:dyDescent="0.45">
      <c r="A13" s="56" t="s">
        <v>107</v>
      </c>
      <c r="B13" s="57"/>
      <c r="C13" s="58">
        <v>0.27966529430658277</v>
      </c>
      <c r="D13" s="57"/>
      <c r="E13" s="58">
        <v>0.39436619718309862</v>
      </c>
      <c r="F13" s="143"/>
      <c r="G13" s="58">
        <v>0.2931034482758621</v>
      </c>
      <c r="H13" s="59"/>
      <c r="I13" s="58">
        <v>-8.017241379310347E-2</v>
      </c>
      <c r="J13" s="59"/>
      <c r="K13" s="58">
        <v>0.26780027692614206</v>
      </c>
      <c r="L13" s="57"/>
      <c r="M13" s="58">
        <v>4.8076923076923132E-3</v>
      </c>
      <c r="N13" s="61"/>
      <c r="O13" s="58">
        <v>5.8252427184466021E-2</v>
      </c>
      <c r="P13" s="144"/>
      <c r="Q13" s="63">
        <v>0.25714285714285712</v>
      </c>
      <c r="R13" s="2"/>
      <c r="S13" s="58">
        <v>7.3476702508960573E-2</v>
      </c>
      <c r="T13" s="64"/>
      <c r="U13" s="63">
        <v>0.66396761133603244</v>
      </c>
      <c r="V13" s="57"/>
      <c r="W13" s="58">
        <v>0.30384615384615365</v>
      </c>
      <c r="X13" s="57"/>
      <c r="Y13" s="58">
        <v>0.8</v>
      </c>
      <c r="Z13" s="65"/>
      <c r="AA13" s="58">
        <v>0.66827071410798855</v>
      </c>
      <c r="AB13" s="145">
        <v>0</v>
      </c>
      <c r="AC13" s="146" t="s">
        <v>128</v>
      </c>
      <c r="AD13" s="59"/>
      <c r="AE13" s="58">
        <v>0.15736040609137017</v>
      </c>
      <c r="AF13" s="59"/>
      <c r="AG13" s="58">
        <v>0.63938871087010096</v>
      </c>
      <c r="AH13" s="145">
        <v>0</v>
      </c>
      <c r="AI13" s="146" t="s">
        <v>128</v>
      </c>
      <c r="AJ13" s="145">
        <v>0</v>
      </c>
      <c r="AK13" s="146" t="s">
        <v>128</v>
      </c>
      <c r="AL13" s="147"/>
      <c r="AM13" s="58">
        <v>0.55777531348630915</v>
      </c>
      <c r="AN13" s="154"/>
      <c r="AO13" s="58">
        <v>0.85321715817694399</v>
      </c>
      <c r="AP13" s="149">
        <v>87.064495731858315</v>
      </c>
      <c r="AQ13" s="58">
        <f>(AP13-AQ$26)/AQ$28</f>
        <v>0.63677868591895137</v>
      </c>
      <c r="AR13" s="148">
        <v>85.273559234928072</v>
      </c>
      <c r="AS13" s="58">
        <v>0.64935753979557764</v>
      </c>
      <c r="AT13" s="150"/>
      <c r="AU13" s="58">
        <v>0</v>
      </c>
      <c r="AV13" s="59"/>
      <c r="AW13" s="58">
        <v>0.37660668380462736</v>
      </c>
      <c r="AX13" s="57"/>
      <c r="AY13" s="58">
        <v>0.10746746212107268</v>
      </c>
      <c r="AZ13" s="59"/>
      <c r="BA13" s="58">
        <v>0</v>
      </c>
      <c r="BB13" s="151"/>
      <c r="BC13" s="58">
        <v>7.6543209876543269E-2</v>
      </c>
      <c r="BD13" s="59"/>
      <c r="BE13" s="58">
        <v>0.22302158273381303</v>
      </c>
      <c r="BF13" s="59"/>
      <c r="BG13" s="58">
        <v>0.14423076923076922</v>
      </c>
      <c r="BH13" s="68"/>
      <c r="BI13" s="58">
        <v>0.83393501805054149</v>
      </c>
      <c r="BJ13">
        <v>102</v>
      </c>
      <c r="BK13" s="58">
        <v>0.6073619631901841</v>
      </c>
      <c r="BL13" s="152"/>
      <c r="BM13" s="151">
        <v>0.49636781395780633</v>
      </c>
      <c r="BN13" s="150"/>
      <c r="BO13" s="58">
        <v>0.49636781395780633</v>
      </c>
      <c r="BP13" s="150"/>
      <c r="BQ13" s="151">
        <v>0.32825258573761551</v>
      </c>
      <c r="BR13" s="68"/>
      <c r="BS13" s="58">
        <v>0.12130637636080871</v>
      </c>
      <c r="BT13" s="153"/>
      <c r="BU13" s="63">
        <v>0.46893787575150303</v>
      </c>
      <c r="BV13" s="68">
        <v>40</v>
      </c>
      <c r="BW13" s="58">
        <v>0.18292682926829268</v>
      </c>
      <c r="BX13" s="153">
        <v>40</v>
      </c>
      <c r="BY13" s="63">
        <v>0.4838709677419355</v>
      </c>
    </row>
    <row r="14" spans="1:77" x14ac:dyDescent="0.45">
      <c r="A14" s="56" t="s">
        <v>108</v>
      </c>
      <c r="B14" s="57"/>
      <c r="C14" s="58">
        <v>0.41261105831114314</v>
      </c>
      <c r="D14" s="57"/>
      <c r="E14" s="58">
        <v>0.3098591549295775</v>
      </c>
      <c r="F14" s="143"/>
      <c r="G14" s="58">
        <v>3.4482758620689627E-2</v>
      </c>
      <c r="H14" s="59"/>
      <c r="I14" s="58">
        <v>6.8965517241378893E-3</v>
      </c>
      <c r="J14" s="59"/>
      <c r="K14" s="58">
        <v>0.22037911888734513</v>
      </c>
      <c r="L14" s="57"/>
      <c r="M14" s="58">
        <v>0.27884615384615397</v>
      </c>
      <c r="N14" s="61"/>
      <c r="O14" s="58">
        <v>3.2362459546925568E-3</v>
      </c>
      <c r="P14" s="144"/>
      <c r="Q14" s="63">
        <v>1.4285714285714285E-2</v>
      </c>
      <c r="R14" s="2"/>
      <c r="S14" s="58">
        <v>1.3888888888888888E-2</v>
      </c>
      <c r="T14" s="64"/>
      <c r="U14" s="63">
        <v>0.12550607287449392</v>
      </c>
      <c r="V14" s="57"/>
      <c r="W14" s="58">
        <v>0.25384615384615361</v>
      </c>
      <c r="X14" s="57"/>
      <c r="Y14" s="58">
        <v>0.35555555555555557</v>
      </c>
      <c r="Z14" s="65"/>
      <c r="AA14" s="58">
        <v>0.15193996992545955</v>
      </c>
      <c r="AB14" s="145">
        <v>0</v>
      </c>
      <c r="AC14" s="146" t="s">
        <v>128</v>
      </c>
      <c r="AD14" s="59"/>
      <c r="AE14" s="58">
        <v>0.33502538071065974</v>
      </c>
      <c r="AF14" s="59"/>
      <c r="AG14" s="58">
        <v>0.81340892284939614</v>
      </c>
      <c r="AH14" s="145">
        <v>0</v>
      </c>
      <c r="AI14" s="146" t="s">
        <v>128</v>
      </c>
      <c r="AJ14" s="145">
        <v>0</v>
      </c>
      <c r="AK14" s="146" t="s">
        <v>128</v>
      </c>
      <c r="AL14" s="147"/>
      <c r="AM14" s="58">
        <v>0.38437260087008362</v>
      </c>
      <c r="AN14" s="154"/>
      <c r="AO14" s="58">
        <v>0.69155868334822745</v>
      </c>
      <c r="AP14" s="149">
        <v>87.211732924346606</v>
      </c>
      <c r="AQ14" s="58">
        <f>(AP14-AQ$26)/AQ$28</f>
        <v>0.65432618346558957</v>
      </c>
      <c r="AR14" s="148">
        <v>86.683966938237006</v>
      </c>
      <c r="AS14" s="58">
        <v>0.75049253356464718</v>
      </c>
      <c r="AT14" s="150"/>
      <c r="AU14" s="58">
        <v>0.44673627424075668</v>
      </c>
      <c r="AV14" s="59"/>
      <c r="AW14" s="58">
        <v>0.85938303341902322</v>
      </c>
      <c r="AX14" s="57"/>
      <c r="AY14" s="58">
        <v>0.32899634080740592</v>
      </c>
      <c r="AZ14" s="59"/>
      <c r="BA14" s="58">
        <v>0.35879945429740795</v>
      </c>
      <c r="BB14" s="151"/>
      <c r="BC14" s="58">
        <v>0.35802469135802478</v>
      </c>
      <c r="BD14" s="59"/>
      <c r="BE14" s="58">
        <v>0.31654676258992803</v>
      </c>
      <c r="BF14" s="59"/>
      <c r="BG14" s="58">
        <v>0.22115384615384612</v>
      </c>
      <c r="BH14" s="68"/>
      <c r="BI14" s="58">
        <v>0.24548736462093862</v>
      </c>
      <c r="BJ14">
        <v>55</v>
      </c>
      <c r="BK14" s="58">
        <v>0.31901840490797545</v>
      </c>
      <c r="BL14" s="152"/>
      <c r="BM14" s="151">
        <v>0.51293893749854946</v>
      </c>
      <c r="BN14" s="150"/>
      <c r="BO14" s="58">
        <v>0.51293893749854946</v>
      </c>
      <c r="BP14" s="150"/>
      <c r="BQ14" s="151">
        <v>0.15786608600979851</v>
      </c>
      <c r="BR14" s="68"/>
      <c r="BS14" s="58">
        <v>9.3312597200622092E-3</v>
      </c>
      <c r="BT14" s="153"/>
      <c r="BU14" s="63">
        <v>3.6072144288577156E-2</v>
      </c>
      <c r="BV14" s="68">
        <v>25</v>
      </c>
      <c r="BW14" s="58">
        <v>9.1463414634146339E-2</v>
      </c>
      <c r="BX14" s="153">
        <v>25</v>
      </c>
      <c r="BY14" s="63">
        <v>0.24193548387096775</v>
      </c>
    </row>
    <row r="15" spans="1:77" x14ac:dyDescent="0.45">
      <c r="A15" s="56" t="s">
        <v>109</v>
      </c>
      <c r="B15" s="57"/>
      <c r="C15" s="58">
        <v>0.63880457252595946</v>
      </c>
      <c r="D15" s="57"/>
      <c r="E15" s="58">
        <v>0.45070422535211274</v>
      </c>
      <c r="F15" s="143"/>
      <c r="G15" s="58">
        <v>0</v>
      </c>
      <c r="H15" s="59"/>
      <c r="I15" s="58">
        <v>8.0172413793103414E-2</v>
      </c>
      <c r="J15" s="59"/>
      <c r="K15" s="58">
        <v>0.14769078759088025</v>
      </c>
      <c r="L15" s="57"/>
      <c r="M15" s="58">
        <v>0.2548076923076924</v>
      </c>
      <c r="N15" s="61"/>
      <c r="O15" s="58">
        <v>1.9417475728155338E-2</v>
      </c>
      <c r="P15" s="144"/>
      <c r="Q15" s="63">
        <v>8.5714285714285715E-2</v>
      </c>
      <c r="R15" s="2"/>
      <c r="S15" s="58">
        <v>2.8673835125448029E-2</v>
      </c>
      <c r="T15" s="64"/>
      <c r="U15" s="63">
        <v>0.25910931174089069</v>
      </c>
      <c r="V15" s="57"/>
      <c r="W15" s="58">
        <v>0.48846153846153845</v>
      </c>
      <c r="X15" s="57"/>
      <c r="Y15" s="58">
        <v>1</v>
      </c>
      <c r="Z15" s="65"/>
      <c r="AA15" s="58">
        <v>0.30258157314400708</v>
      </c>
      <c r="AB15" s="145">
        <v>0</v>
      </c>
      <c r="AC15" s="146" t="s">
        <v>128</v>
      </c>
      <c r="AD15" s="59"/>
      <c r="AE15" s="58">
        <v>0.20812182741116719</v>
      </c>
      <c r="AF15" s="59"/>
      <c r="AG15" s="58">
        <v>0.4988908060142962</v>
      </c>
      <c r="AH15" s="145">
        <v>0</v>
      </c>
      <c r="AI15" s="146" t="s">
        <v>128</v>
      </c>
      <c r="AJ15" s="145">
        <v>0</v>
      </c>
      <c r="AK15" s="146" t="s">
        <v>128</v>
      </c>
      <c r="AL15" s="147"/>
      <c r="AM15" s="58">
        <v>0.39139818950863509</v>
      </c>
      <c r="AN15" s="154"/>
      <c r="AO15" s="58">
        <v>0.73144269436997378</v>
      </c>
      <c r="AP15" s="149">
        <v>86.973548096669589</v>
      </c>
      <c r="AQ15" s="58">
        <f>(AP15-AQ$26)/AQ$28</f>
        <v>0.62593968947806478</v>
      </c>
      <c r="AR15" s="148">
        <v>83.398420636585485</v>
      </c>
      <c r="AS15" s="58">
        <v>0.51489845394784506</v>
      </c>
      <c r="AT15" s="150"/>
      <c r="AU15" s="58">
        <v>0.36388373898873788</v>
      </c>
      <c r="AV15" s="59"/>
      <c r="AW15" s="58">
        <v>0.81850899742930594</v>
      </c>
      <c r="AX15" s="57"/>
      <c r="AY15" s="58">
        <v>0.45325206517263272</v>
      </c>
      <c r="AZ15" s="59"/>
      <c r="BA15" s="58">
        <v>0.36766712141882674</v>
      </c>
      <c r="BB15" s="151"/>
      <c r="BC15" s="58">
        <v>0.48148148148148157</v>
      </c>
      <c r="BD15" s="59"/>
      <c r="BE15" s="58">
        <v>0</v>
      </c>
      <c r="BF15" s="59"/>
      <c r="BG15" s="58">
        <v>6.7307692307692291E-2</v>
      </c>
      <c r="BH15" s="68"/>
      <c r="BI15" s="58">
        <v>0.43321299638989169</v>
      </c>
      <c r="BJ15">
        <v>89</v>
      </c>
      <c r="BK15" s="58">
        <v>0.52760736196319014</v>
      </c>
      <c r="BL15" s="152"/>
      <c r="BM15" s="151">
        <v>1</v>
      </c>
      <c r="BN15" s="150"/>
      <c r="BO15" s="58">
        <v>1</v>
      </c>
      <c r="BP15" s="150"/>
      <c r="BQ15" s="151">
        <v>8.8187261839956302E-2</v>
      </c>
      <c r="BR15" s="68"/>
      <c r="BS15" s="58">
        <v>0</v>
      </c>
      <c r="BT15" s="153"/>
      <c r="BU15" s="63">
        <v>0</v>
      </c>
      <c r="BV15" s="68">
        <v>10</v>
      </c>
      <c r="BW15" s="58">
        <v>0</v>
      </c>
      <c r="BX15" s="153">
        <v>10</v>
      </c>
      <c r="BY15" s="63">
        <v>0</v>
      </c>
    </row>
    <row r="16" spans="1:77" x14ac:dyDescent="0.45">
      <c r="A16" s="56" t="s">
        <v>110</v>
      </c>
      <c r="B16" s="57"/>
      <c r="C16" s="58">
        <v>8.7088552681524864E-2</v>
      </c>
      <c r="D16" s="57"/>
      <c r="E16" s="58">
        <v>0.21126760563380287</v>
      </c>
      <c r="F16" s="143"/>
      <c r="G16" s="58">
        <v>0.22413793103448271</v>
      </c>
      <c r="H16" s="59"/>
      <c r="I16" s="58">
        <v>-0.20775862068965517</v>
      </c>
      <c r="J16" s="59"/>
      <c r="K16" s="58">
        <v>0.49314842899234324</v>
      </c>
      <c r="L16" s="57"/>
      <c r="M16" s="58">
        <v>0.41346153846153855</v>
      </c>
      <c r="N16" s="61"/>
      <c r="O16" s="58">
        <v>0.15210355987055016</v>
      </c>
      <c r="P16" s="144"/>
      <c r="Q16" s="63">
        <v>0.67142857142857137</v>
      </c>
      <c r="R16" s="2"/>
      <c r="S16" s="58">
        <v>9.9910394265232974E-2</v>
      </c>
      <c r="T16" s="64"/>
      <c r="U16" s="63">
        <v>0.90283400809716596</v>
      </c>
      <c r="V16" s="57"/>
      <c r="W16" s="58">
        <v>0.76153846153846139</v>
      </c>
      <c r="X16" s="57"/>
      <c r="Y16" s="58">
        <v>0.62222222222222223</v>
      </c>
      <c r="Z16" s="65"/>
      <c r="AA16" s="58">
        <v>0.68653064609770187</v>
      </c>
      <c r="AB16" s="145">
        <v>0</v>
      </c>
      <c r="AC16" s="146" t="s">
        <v>128</v>
      </c>
      <c r="AD16" s="59"/>
      <c r="AE16" s="58">
        <v>1</v>
      </c>
      <c r="AF16" s="59"/>
      <c r="AG16" s="58">
        <v>0</v>
      </c>
      <c r="AH16" s="145">
        <v>0</v>
      </c>
      <c r="AI16" s="146" t="s">
        <v>128</v>
      </c>
      <c r="AJ16" s="145">
        <v>0</v>
      </c>
      <c r="AK16" s="146" t="s">
        <v>128</v>
      </c>
      <c r="AL16" s="147"/>
      <c r="AM16" s="58">
        <v>0.7209076175040513</v>
      </c>
      <c r="AN16" s="65"/>
      <c r="AO16" s="58">
        <v>0</v>
      </c>
      <c r="AP16" s="149">
        <v>89.748865525991235</v>
      </c>
      <c r="AQ16" s="58">
        <f>(AP16-AQ$26)/AQ$28</f>
        <v>0.95669766549717949</v>
      </c>
      <c r="AR16" s="148">
        <v>88.296642845603927</v>
      </c>
      <c r="AS16" s="58">
        <v>0.86613141405320415</v>
      </c>
      <c r="AT16" s="150"/>
      <c r="AU16" s="58">
        <v>0.10702623524821467</v>
      </c>
      <c r="AV16" s="59"/>
      <c r="AW16" s="58">
        <v>0.25295629820051413</v>
      </c>
      <c r="AX16" s="57"/>
      <c r="AY16" s="58">
        <v>0</v>
      </c>
      <c r="AZ16" s="59"/>
      <c r="BA16" s="58">
        <v>2.4556616643929004E-2</v>
      </c>
      <c r="BB16" s="151"/>
      <c r="BC16" s="58">
        <v>0</v>
      </c>
      <c r="BD16" s="59"/>
      <c r="BE16" s="58">
        <v>0.6690647482014388</v>
      </c>
      <c r="BF16" s="59"/>
      <c r="BG16" s="58">
        <v>0.88461538461538447</v>
      </c>
      <c r="BH16" s="68"/>
      <c r="BI16" s="58">
        <v>7.5812274368231042E-2</v>
      </c>
      <c r="BJ16">
        <v>10</v>
      </c>
      <c r="BK16" s="58">
        <v>4.2944785276073622E-2</v>
      </c>
      <c r="BL16" s="152"/>
      <c r="BM16" s="151">
        <v>0.14519460626174949</v>
      </c>
      <c r="BN16" s="150"/>
      <c r="BO16" s="58">
        <v>0.14519460626174949</v>
      </c>
      <c r="BP16" s="150"/>
      <c r="BQ16" s="151">
        <v>0.72781709308655396</v>
      </c>
      <c r="BR16" s="68"/>
      <c r="BS16" s="58">
        <v>0.25868325557283567</v>
      </c>
      <c r="BT16" s="153"/>
      <c r="BU16" s="63">
        <v>1</v>
      </c>
      <c r="BV16" s="68">
        <v>57</v>
      </c>
      <c r="BW16" s="58">
        <v>0.28658536585365851</v>
      </c>
      <c r="BX16" s="153">
        <v>57</v>
      </c>
      <c r="BY16" s="63">
        <v>0.75806451612903225</v>
      </c>
    </row>
    <row r="17" spans="1:77" x14ac:dyDescent="0.45">
      <c r="A17" s="56" t="s">
        <v>111</v>
      </c>
      <c r="B17" s="57"/>
      <c r="C17" s="58">
        <v>0.32828634951621771</v>
      </c>
      <c r="D17" s="57"/>
      <c r="E17" s="58">
        <v>0.52112676056338036</v>
      </c>
      <c r="F17" s="143"/>
      <c r="G17" s="58">
        <v>0.17241379310344829</v>
      </c>
      <c r="H17" s="59"/>
      <c r="I17" s="58">
        <v>0.11724137931034483</v>
      </c>
      <c r="J17" s="59"/>
      <c r="K17" s="58">
        <v>0.14826597281494741</v>
      </c>
      <c r="L17" s="57"/>
      <c r="M17" s="58">
        <v>9.6153846153846263E-3</v>
      </c>
      <c r="N17" s="61"/>
      <c r="O17" s="58">
        <v>6.4724919093851127E-2</v>
      </c>
      <c r="P17" s="144"/>
      <c r="Q17" s="63">
        <v>0.2857142857142857</v>
      </c>
      <c r="R17" s="2"/>
      <c r="S17" s="58">
        <v>0.10304659498207885</v>
      </c>
      <c r="T17" s="64"/>
      <c r="U17" s="63">
        <v>0.93117408906882593</v>
      </c>
      <c r="V17" s="57"/>
      <c r="W17" s="58">
        <v>0.57307692307692271</v>
      </c>
      <c r="X17" s="57"/>
      <c r="Y17" s="58">
        <v>0.55555555555555558</v>
      </c>
      <c r="Z17" s="65"/>
      <c r="AA17" s="58">
        <v>0.74316496640955576</v>
      </c>
      <c r="AB17" s="145">
        <v>0</v>
      </c>
      <c r="AC17" s="146" t="s">
        <v>128</v>
      </c>
      <c r="AD17" s="59"/>
      <c r="AE17" s="58">
        <v>3.5532994923857905E-2</v>
      </c>
      <c r="AF17" s="59"/>
      <c r="AG17" s="58">
        <v>0.47892531427162921</v>
      </c>
      <c r="AH17" s="145">
        <v>0</v>
      </c>
      <c r="AI17" s="146" t="s">
        <v>128</v>
      </c>
      <c r="AJ17" s="145">
        <v>0</v>
      </c>
      <c r="AK17" s="146" t="s">
        <v>128</v>
      </c>
      <c r="AL17" s="147"/>
      <c r="AM17" s="58">
        <v>0.81223662884927383</v>
      </c>
      <c r="AN17" s="154"/>
      <c r="AO17" s="58">
        <v>0.7555853440571928</v>
      </c>
      <c r="AP17" s="149">
        <v>87.038884562414054</v>
      </c>
      <c r="AQ17" s="58">
        <f>(AP17-AQ$26)/AQ$28</f>
        <v>0.63372638693528638</v>
      </c>
      <c r="AR17" s="148">
        <v>85.565261723268151</v>
      </c>
      <c r="AS17" s="58">
        <v>0.67027442026317818</v>
      </c>
      <c r="AT17" s="150"/>
      <c r="AU17" s="58">
        <v>0.3412684610196311</v>
      </c>
      <c r="AV17" s="59"/>
      <c r="AW17" s="58">
        <v>0.48431876606683799</v>
      </c>
      <c r="AX17" s="57"/>
      <c r="AY17" s="58">
        <v>0.32521002954708023</v>
      </c>
      <c r="AZ17" s="59"/>
      <c r="BA17" s="58">
        <v>0.33628922237380632</v>
      </c>
      <c r="BB17" s="151"/>
      <c r="BC17" s="58">
        <v>0.22222222222222229</v>
      </c>
      <c r="BD17" s="59"/>
      <c r="BE17" s="58">
        <v>0.7985611510791365</v>
      </c>
      <c r="BF17" s="59"/>
      <c r="BG17" s="58">
        <v>0.46153846153846145</v>
      </c>
      <c r="BH17" s="68"/>
      <c r="BI17" s="58">
        <v>4.3321299638989168E-2</v>
      </c>
      <c r="BJ17">
        <v>12</v>
      </c>
      <c r="BK17" s="58">
        <v>5.5214723926380369E-2</v>
      </c>
      <c r="BL17" s="152"/>
      <c r="BM17" s="151">
        <v>0.99120384338663636</v>
      </c>
      <c r="BN17" s="150"/>
      <c r="BO17" s="58">
        <v>0.99120384338663636</v>
      </c>
      <c r="BP17" s="150"/>
      <c r="BQ17" s="151">
        <v>0.57267283614588993</v>
      </c>
      <c r="BR17" s="68"/>
      <c r="BS17" s="58">
        <v>0.13374805598755832</v>
      </c>
      <c r="BT17" s="153"/>
      <c r="BU17" s="63">
        <v>0.51703406813627251</v>
      </c>
      <c r="BV17" s="68">
        <v>21</v>
      </c>
      <c r="BW17" s="58">
        <v>6.7073170731707321E-2</v>
      </c>
      <c r="BX17" s="153">
        <v>21</v>
      </c>
      <c r="BY17" s="63">
        <v>0.17741935483870969</v>
      </c>
    </row>
    <row r="18" spans="1:77" x14ac:dyDescent="0.45">
      <c r="A18" s="56" t="s">
        <v>112</v>
      </c>
      <c r="B18" s="57"/>
      <c r="C18" s="58">
        <v>1</v>
      </c>
      <c r="D18" s="57"/>
      <c r="E18" s="58">
        <v>0.77464788732394363</v>
      </c>
      <c r="F18" s="143"/>
      <c r="G18" s="58">
        <v>4.3103448275862044E-2</v>
      </c>
      <c r="H18" s="59"/>
      <c r="I18" s="58">
        <v>0.13620689655172408</v>
      </c>
      <c r="J18" s="59"/>
      <c r="K18" s="58">
        <v>0</v>
      </c>
      <c r="L18" s="57"/>
      <c r="M18" s="58">
        <v>0.33173076923076927</v>
      </c>
      <c r="N18" s="61"/>
      <c r="O18" s="58">
        <v>2.2653721682847898E-2</v>
      </c>
      <c r="P18" s="144"/>
      <c r="Q18" s="63">
        <v>0.1</v>
      </c>
      <c r="R18" s="2"/>
      <c r="S18" s="58">
        <v>2.1505376344086023E-2</v>
      </c>
      <c r="T18" s="64"/>
      <c r="U18" s="63">
        <v>0.19433198380566802</v>
      </c>
      <c r="V18" s="57"/>
      <c r="W18" s="58">
        <v>0.12692307692307661</v>
      </c>
      <c r="X18" s="57"/>
      <c r="Y18" s="58">
        <v>0.8666666666666667</v>
      </c>
      <c r="Z18" s="65"/>
      <c r="AA18" s="58">
        <v>0.2045600704346669</v>
      </c>
      <c r="AB18" s="145">
        <v>0</v>
      </c>
      <c r="AC18" s="146" t="s">
        <v>128</v>
      </c>
      <c r="AD18" s="59"/>
      <c r="AE18" s="58">
        <v>5.0761421319797009E-2</v>
      </c>
      <c r="AF18" s="59"/>
      <c r="AG18" s="58">
        <v>0.85580478185851616</v>
      </c>
      <c r="AH18" s="145">
        <v>0</v>
      </c>
      <c r="AI18" s="146" t="s">
        <v>128</v>
      </c>
      <c r="AJ18" s="145">
        <v>0</v>
      </c>
      <c r="AK18" s="146" t="s">
        <v>128</v>
      </c>
      <c r="AL18" s="147"/>
      <c r="AM18" s="58">
        <v>0.35105348460291952</v>
      </c>
      <c r="AN18" s="154"/>
      <c r="AO18" s="58">
        <v>0.76015673334707989</v>
      </c>
      <c r="AP18" s="149">
        <v>86.663246102836339</v>
      </c>
      <c r="AQ18" s="58">
        <f>(AP18-AQ$26)/AQ$28</f>
        <v>0.58895838479895724</v>
      </c>
      <c r="AR18" s="148">
        <v>82.570619125310728</v>
      </c>
      <c r="AS18" s="58">
        <v>0.45553994329281572</v>
      </c>
      <c r="AT18" s="150"/>
      <c r="AU18" s="58">
        <v>0.66102354580479794</v>
      </c>
      <c r="AV18" s="59"/>
      <c r="AW18" s="58">
        <v>0.64447300771208227</v>
      </c>
      <c r="AX18" s="57"/>
      <c r="AY18" s="58">
        <v>0.50176612779796803</v>
      </c>
      <c r="AZ18" s="59"/>
      <c r="BA18" s="58">
        <v>0.6125511596180081</v>
      </c>
      <c r="BB18" s="151"/>
      <c r="BC18" s="58">
        <v>0.39135802469135805</v>
      </c>
      <c r="BD18" s="59"/>
      <c r="BE18" s="58">
        <v>0.21582733812949637</v>
      </c>
      <c r="BF18" s="59"/>
      <c r="BG18" s="58">
        <v>0.15384615384615383</v>
      </c>
      <c r="BH18" s="68"/>
      <c r="BI18" s="58">
        <v>0.46931407942238268</v>
      </c>
      <c r="BJ18">
        <v>97</v>
      </c>
      <c r="BK18" s="58">
        <v>0.57668711656441718</v>
      </c>
      <c r="BL18" s="152"/>
      <c r="BM18" s="151">
        <v>0.46711305034000977</v>
      </c>
      <c r="BN18" s="150"/>
      <c r="BO18" s="58">
        <v>0.46711305034000977</v>
      </c>
      <c r="BP18" s="150"/>
      <c r="BQ18" s="151">
        <v>0.54545454545454541</v>
      </c>
      <c r="BR18" s="68"/>
      <c r="BS18" s="58">
        <v>6.9984447900466568E-2</v>
      </c>
      <c r="BT18" s="153"/>
      <c r="BU18" s="63">
        <v>0.27054108216432865</v>
      </c>
      <c r="BV18" s="68">
        <v>13</v>
      </c>
      <c r="BW18" s="58">
        <v>1.8292682926829267E-2</v>
      </c>
      <c r="BX18" s="153">
        <v>13</v>
      </c>
      <c r="BY18" s="63">
        <v>4.8387096774193547E-2</v>
      </c>
    </row>
    <row r="19" spans="1:77" x14ac:dyDescent="0.45">
      <c r="A19" s="56" t="s">
        <v>113</v>
      </c>
      <c r="B19" s="57"/>
      <c r="C19" s="58">
        <v>0.57518480835353059</v>
      </c>
      <c r="D19" s="57"/>
      <c r="E19" s="58">
        <v>0.63380281690140849</v>
      </c>
      <c r="F19" s="143"/>
      <c r="G19" s="58">
        <v>6.8965517241379309E-2</v>
      </c>
      <c r="H19" s="59"/>
      <c r="I19" s="58">
        <v>0.36379310344827587</v>
      </c>
      <c r="J19" s="59"/>
      <c r="K19" s="58">
        <v>5.9143030031662706E-2</v>
      </c>
      <c r="L19" s="57"/>
      <c r="M19" s="58">
        <v>0.52884615384615397</v>
      </c>
      <c r="N19" s="61"/>
      <c r="O19" s="58">
        <v>3.5598705501618123E-2</v>
      </c>
      <c r="P19" s="144"/>
      <c r="Q19" s="63">
        <v>0.15714285714285714</v>
      </c>
      <c r="R19" s="2"/>
      <c r="S19" s="58">
        <v>5.4659498207885307E-2</v>
      </c>
      <c r="T19" s="64"/>
      <c r="U19" s="63">
        <v>0.49392712550607287</v>
      </c>
      <c r="V19" s="57"/>
      <c r="W19" s="58">
        <v>0.48846153846153845</v>
      </c>
      <c r="X19" s="57"/>
      <c r="Y19" s="58">
        <v>0.31111111111111112</v>
      </c>
      <c r="Z19" s="65"/>
      <c r="AA19" s="58">
        <v>0.14353793166669099</v>
      </c>
      <c r="AB19" s="145">
        <v>0</v>
      </c>
      <c r="AC19" s="146" t="s">
        <v>128</v>
      </c>
      <c r="AD19" s="59"/>
      <c r="AE19" s="58">
        <v>0.6548223350253809</v>
      </c>
      <c r="AF19" s="59"/>
      <c r="AG19" s="58">
        <v>0.81587379837318219</v>
      </c>
      <c r="AH19" s="145">
        <v>0</v>
      </c>
      <c r="AI19" s="146" t="s">
        <v>128</v>
      </c>
      <c r="AJ19" s="145">
        <v>0</v>
      </c>
      <c r="AK19" s="146" t="s">
        <v>128</v>
      </c>
      <c r="AL19" s="147"/>
      <c r="AM19" s="58">
        <v>0.27642715649198663</v>
      </c>
      <c r="AN19" s="154"/>
      <c r="AO19" s="58">
        <v>0.64426126332308797</v>
      </c>
      <c r="AP19" s="149">
        <v>83.943057003483503</v>
      </c>
      <c r="AQ19" s="58">
        <f>(AP19-AQ$26)/AQ$28</f>
        <v>0.26477051663458756</v>
      </c>
      <c r="AR19" s="148">
        <v>79.199972107020585</v>
      </c>
      <c r="AS19" s="58">
        <v>0.21384361364802645</v>
      </c>
      <c r="AT19" s="150"/>
      <c r="AU19" s="58">
        <v>1</v>
      </c>
      <c r="AV19" s="59"/>
      <c r="AW19" s="58">
        <v>0.502827763496144</v>
      </c>
      <c r="AX19" s="57"/>
      <c r="AY19" s="58">
        <v>1</v>
      </c>
      <c r="AZ19" s="59"/>
      <c r="BA19" s="58">
        <v>1</v>
      </c>
      <c r="BB19" s="151"/>
      <c r="BC19" s="58">
        <v>1</v>
      </c>
      <c r="BD19" s="59"/>
      <c r="BE19" s="58">
        <v>0.47482014388489208</v>
      </c>
      <c r="BF19" s="59"/>
      <c r="BG19" s="58">
        <v>0.60576923076923073</v>
      </c>
      <c r="BH19" s="68"/>
      <c r="BI19" s="58">
        <v>0.44043321299638988</v>
      </c>
      <c r="BJ19">
        <v>85</v>
      </c>
      <c r="BK19" s="58">
        <v>0.50306748466257667</v>
      </c>
      <c r="BL19" s="152"/>
      <c r="BM19" s="151">
        <v>0.99285167219811077</v>
      </c>
      <c r="BN19" s="150"/>
      <c r="BO19" s="58">
        <v>0.99285167219811077</v>
      </c>
      <c r="BP19" s="150"/>
      <c r="BQ19" s="151">
        <v>0</v>
      </c>
      <c r="BR19" s="68"/>
      <c r="BS19" s="58">
        <v>8.6054950751684817E-2</v>
      </c>
      <c r="BT19" s="153"/>
      <c r="BU19" s="63">
        <v>0.33266533066132264</v>
      </c>
      <c r="BV19" s="68">
        <v>17</v>
      </c>
      <c r="BW19" s="58">
        <v>4.2682926829268296E-2</v>
      </c>
      <c r="BX19" s="153">
        <v>17</v>
      </c>
      <c r="BY19" s="63">
        <v>0.11290322580645161</v>
      </c>
    </row>
    <row r="20" spans="1:77" x14ac:dyDescent="0.45">
      <c r="A20" s="56" t="s">
        <v>114</v>
      </c>
      <c r="B20" s="57"/>
      <c r="C20" s="58">
        <v>0</v>
      </c>
      <c r="D20" s="57"/>
      <c r="E20" s="58">
        <v>0</v>
      </c>
      <c r="F20" s="143"/>
      <c r="G20" s="58">
        <v>7.7586206896551727E-2</v>
      </c>
      <c r="H20" s="59"/>
      <c r="I20" s="58">
        <v>-7.9310344827586199E-2</v>
      </c>
      <c r="J20" s="59"/>
      <c r="K20" s="58">
        <v>0.16176274602590579</v>
      </c>
      <c r="L20" s="57"/>
      <c r="M20" s="58">
        <v>0.81250000000000011</v>
      </c>
      <c r="N20" s="61"/>
      <c r="O20" s="58">
        <v>6.1488673139158574E-2</v>
      </c>
      <c r="P20" s="144"/>
      <c r="Q20" s="63">
        <v>0.27142857142857141</v>
      </c>
      <c r="R20" s="2"/>
      <c r="S20" s="58">
        <v>5.6003584229390682E-2</v>
      </c>
      <c r="T20" s="64"/>
      <c r="U20" s="63">
        <v>0.50607287449392713</v>
      </c>
      <c r="V20" s="57"/>
      <c r="W20" s="58">
        <v>0.24230769230769209</v>
      </c>
      <c r="X20" s="57"/>
      <c r="Y20" s="58">
        <v>0.37777777777777777</v>
      </c>
      <c r="Z20" s="65"/>
      <c r="AA20" s="58">
        <v>0.11400159586790097</v>
      </c>
      <c r="AB20" s="145">
        <v>0</v>
      </c>
      <c r="AC20" s="146" t="s">
        <v>128</v>
      </c>
      <c r="AD20" s="59"/>
      <c r="AE20" s="58">
        <v>0.42131979695431465</v>
      </c>
      <c r="AF20" s="59"/>
      <c r="AG20" s="58">
        <v>0.26176978062607836</v>
      </c>
      <c r="AH20" s="145">
        <v>0</v>
      </c>
      <c r="AI20" s="146" t="s">
        <v>128</v>
      </c>
      <c r="AJ20" s="145">
        <v>0</v>
      </c>
      <c r="AK20" s="146" t="s">
        <v>128</v>
      </c>
      <c r="AL20" s="147"/>
      <c r="AM20" s="58">
        <v>0.30534846029173163</v>
      </c>
      <c r="AN20" s="154"/>
      <c r="AO20" s="58">
        <v>0.65455764075067091</v>
      </c>
      <c r="AP20" s="149">
        <v>88.689435796561426</v>
      </c>
      <c r="AQ20" s="58">
        <f>(AP20-AQ$26)/AQ$28</f>
        <v>0.83043649286932208</v>
      </c>
      <c r="AR20" s="148">
        <v>87.476457609779104</v>
      </c>
      <c r="AS20" s="58">
        <v>0.80731903766017965</v>
      </c>
      <c r="AT20" s="150"/>
      <c r="AU20" s="58">
        <v>0.24735885864867943</v>
      </c>
      <c r="AV20" s="59"/>
      <c r="AW20" s="58">
        <v>0.21388174807197929</v>
      </c>
      <c r="AX20" s="57"/>
      <c r="AY20" s="58">
        <v>6.0497877504844526E-2</v>
      </c>
      <c r="AZ20" s="59"/>
      <c r="BA20" s="58">
        <v>0.16643929058663032</v>
      </c>
      <c r="BB20" s="151"/>
      <c r="BC20" s="58">
        <v>0.11481481481481487</v>
      </c>
      <c r="BD20" s="59"/>
      <c r="BE20" s="58">
        <v>0.58273381294964011</v>
      </c>
      <c r="BF20" s="59"/>
      <c r="BG20" s="58">
        <v>0.58653846153846145</v>
      </c>
      <c r="BH20" s="68"/>
      <c r="BI20" s="58">
        <v>6.8592057761732855E-2</v>
      </c>
      <c r="BJ20">
        <v>19</v>
      </c>
      <c r="BK20" s="58">
        <v>9.815950920245399E-2</v>
      </c>
      <c r="BL20" s="152"/>
      <c r="BM20" s="151">
        <v>0</v>
      </c>
      <c r="BN20" s="150"/>
      <c r="BO20" s="58">
        <v>0</v>
      </c>
      <c r="BP20" s="150"/>
      <c r="BQ20" s="151">
        <v>0.49591725639629824</v>
      </c>
      <c r="BR20" s="68"/>
      <c r="BS20" s="58">
        <v>4.872991187143598E-2</v>
      </c>
      <c r="BT20" s="153"/>
      <c r="BU20" s="63">
        <v>0.18837675350701402</v>
      </c>
      <c r="BV20" s="68">
        <v>42</v>
      </c>
      <c r="BW20" s="58">
        <v>0.1951219512195122</v>
      </c>
      <c r="BX20" s="153">
        <v>42</v>
      </c>
      <c r="BY20" s="63">
        <v>0.5161290322580645</v>
      </c>
    </row>
    <row r="21" spans="1:77" x14ac:dyDescent="0.45">
      <c r="A21" s="56" t="s">
        <v>115</v>
      </c>
      <c r="B21" s="57"/>
      <c r="C21" s="58">
        <v>0.65811345752780603</v>
      </c>
      <c r="D21" s="57"/>
      <c r="E21" s="58">
        <v>0.95774647887323938</v>
      </c>
      <c r="F21" s="143"/>
      <c r="G21" s="58">
        <v>1</v>
      </c>
      <c r="H21" s="59"/>
      <c r="I21" s="58">
        <v>3.7931034482758627E-2</v>
      </c>
      <c r="J21" s="59"/>
      <c r="K21" s="58">
        <v>1</v>
      </c>
      <c r="L21" s="57"/>
      <c r="M21" s="58">
        <v>4.8076923076923059E-2</v>
      </c>
      <c r="N21" s="61"/>
      <c r="O21" s="58">
        <v>1</v>
      </c>
      <c r="P21" s="69" t="s">
        <v>105</v>
      </c>
      <c r="Q21" s="63"/>
      <c r="R21" s="2"/>
      <c r="S21" s="58">
        <v>1</v>
      </c>
      <c r="T21" s="64" t="s">
        <v>105</v>
      </c>
      <c r="U21" s="63"/>
      <c r="V21" s="57"/>
      <c r="W21" s="58">
        <v>0.86153846153846148</v>
      </c>
      <c r="X21" s="57"/>
      <c r="Y21" s="58">
        <v>0.8666666666666667</v>
      </c>
      <c r="Z21" s="65"/>
      <c r="AA21" s="58">
        <v>0.17519905449116516</v>
      </c>
      <c r="AB21" s="145">
        <v>0</v>
      </c>
      <c r="AC21" s="146" t="s">
        <v>128</v>
      </c>
      <c r="AD21" s="59"/>
      <c r="AE21" s="58">
        <v>0.45685279187817252</v>
      </c>
      <c r="AF21" s="59"/>
      <c r="AG21" s="58">
        <v>0.26324870594034999</v>
      </c>
      <c r="AH21" s="145">
        <v>0</v>
      </c>
      <c r="AI21" s="146" t="s">
        <v>128</v>
      </c>
      <c r="AJ21" s="145">
        <v>0</v>
      </c>
      <c r="AK21" s="146" t="s">
        <v>128</v>
      </c>
      <c r="AL21" s="147"/>
      <c r="AM21" s="58">
        <v>0.36466774716369754</v>
      </c>
      <c r="AN21" s="65"/>
      <c r="AO21" s="58">
        <v>0.59693364611259891</v>
      </c>
      <c r="AP21" s="149">
        <v>87.623162788890909</v>
      </c>
      <c r="AQ21" s="58">
        <f>(AP21-AQ$26)/AQ$28</f>
        <v>0.70335974907965138</v>
      </c>
      <c r="AR21" s="148">
        <v>82.645113571013994</v>
      </c>
      <c r="AS21" s="58">
        <v>0.46088165780866436</v>
      </c>
      <c r="AT21" s="150"/>
      <c r="AU21" s="58">
        <v>0.13633610393008685</v>
      </c>
      <c r="AV21" s="59"/>
      <c r="AW21" s="58">
        <v>0.32236503856041138</v>
      </c>
      <c r="AX21" s="57"/>
      <c r="AY21" s="58">
        <v>0.13617385039914884</v>
      </c>
      <c r="AZ21" s="59"/>
      <c r="BA21" s="58">
        <v>0.24079126875852658</v>
      </c>
      <c r="BB21" s="151"/>
      <c r="BC21" s="58">
        <v>0.12098765432098771</v>
      </c>
      <c r="BD21" s="59"/>
      <c r="BE21" s="58">
        <v>0.6690647482014388</v>
      </c>
      <c r="BF21" s="59"/>
      <c r="BG21" s="58">
        <v>1</v>
      </c>
      <c r="BH21" s="68"/>
      <c r="BI21" s="58">
        <v>0</v>
      </c>
      <c r="BJ21">
        <v>3</v>
      </c>
      <c r="BK21" s="58">
        <v>0</v>
      </c>
      <c r="BL21" s="152"/>
      <c r="BM21" s="151">
        <v>0.1897091930280595</v>
      </c>
      <c r="BN21" s="150"/>
      <c r="BO21" s="58">
        <v>0.1897091930280595</v>
      </c>
      <c r="BP21" s="150"/>
      <c r="BQ21" s="151">
        <v>0.74088187261839944</v>
      </c>
      <c r="BR21" s="68"/>
      <c r="BS21" s="58">
        <v>0.53862104717470194</v>
      </c>
      <c r="BT21" s="155" t="s">
        <v>116</v>
      </c>
      <c r="BU21" s="63"/>
      <c r="BV21" s="68">
        <v>170</v>
      </c>
      <c r="BW21" s="58">
        <v>0.97560975609756095</v>
      </c>
      <c r="BX21" s="155" t="s">
        <v>116</v>
      </c>
      <c r="BY21" s="63"/>
    </row>
    <row r="22" spans="1:77" x14ac:dyDescent="0.45">
      <c r="A22" s="56" t="s">
        <v>117</v>
      </c>
      <c r="B22" s="57"/>
      <c r="C22" s="58">
        <v>0.32317576110440405</v>
      </c>
      <c r="D22" s="57"/>
      <c r="E22" s="58">
        <v>0.50704225352112686</v>
      </c>
      <c r="F22" s="143"/>
      <c r="G22" s="58">
        <v>0.20689655172413787</v>
      </c>
      <c r="H22" s="59"/>
      <c r="I22" s="58">
        <v>8.4482758620689616E-2</v>
      </c>
      <c r="J22" s="59"/>
      <c r="K22" s="58">
        <v>0.15936358786251389</v>
      </c>
      <c r="L22" s="57"/>
      <c r="M22" s="58">
        <v>0.30769230769230782</v>
      </c>
      <c r="N22" s="61"/>
      <c r="O22" s="58">
        <v>8.4142394822006472E-2</v>
      </c>
      <c r="P22" s="144"/>
      <c r="Q22" s="63">
        <v>0.37142857142857144</v>
      </c>
      <c r="R22" s="2"/>
      <c r="S22" s="58">
        <v>7.3028673835125443E-2</v>
      </c>
      <c r="T22" s="64"/>
      <c r="U22" s="63">
        <v>0.65991902834008098</v>
      </c>
      <c r="V22" s="57"/>
      <c r="W22" s="58">
        <v>0.80384615384615365</v>
      </c>
      <c r="X22" s="57"/>
      <c r="Y22" s="58">
        <v>0.28888888888888886</v>
      </c>
      <c r="Z22" s="65"/>
      <c r="AA22" s="58">
        <v>1</v>
      </c>
      <c r="AB22" s="145">
        <v>0</v>
      </c>
      <c r="AC22" s="146" t="s">
        <v>128</v>
      </c>
      <c r="AD22" s="59"/>
      <c r="AE22" s="58">
        <v>0.45685279187817252</v>
      </c>
      <c r="AF22" s="59"/>
      <c r="AG22" s="58">
        <v>0.43184619176731565</v>
      </c>
      <c r="AH22" s="145">
        <v>0</v>
      </c>
      <c r="AI22" s="146" t="s">
        <v>128</v>
      </c>
      <c r="AJ22" s="145">
        <v>0</v>
      </c>
      <c r="AK22" s="146" t="s">
        <v>128</v>
      </c>
      <c r="AL22" s="147"/>
      <c r="AM22" s="58">
        <v>1</v>
      </c>
      <c r="AN22" s="154"/>
      <c r="AO22" s="58">
        <v>1</v>
      </c>
      <c r="AP22" s="149">
        <v>84.821726341839195</v>
      </c>
      <c r="AQ22" s="58">
        <f>(AP22-AQ$26)/AQ$28</f>
        <v>0.36948894951511746</v>
      </c>
      <c r="AR22" s="148">
        <v>81.82745708509708</v>
      </c>
      <c r="AS22" s="58">
        <v>0.40225060849261196</v>
      </c>
      <c r="AT22" s="150"/>
      <c r="AU22" s="58">
        <v>0.39792615136134313</v>
      </c>
      <c r="AV22" s="59"/>
      <c r="AW22" s="58">
        <v>0.44061696658097693</v>
      </c>
      <c r="AX22" s="57"/>
      <c r="AY22" s="58">
        <v>0.32038041968863973</v>
      </c>
      <c r="AZ22" s="59"/>
      <c r="BA22" s="58">
        <v>0.4072305593451569</v>
      </c>
      <c r="BB22" s="151"/>
      <c r="BC22" s="58">
        <v>0.39012345679012345</v>
      </c>
      <c r="BD22" s="59"/>
      <c r="BE22" s="58">
        <v>0.35251798561151076</v>
      </c>
      <c r="BF22" s="59"/>
      <c r="BG22" s="58">
        <v>0.4711538461538462</v>
      </c>
      <c r="BH22" s="68"/>
      <c r="BI22" s="58">
        <v>0.11191335740072202</v>
      </c>
      <c r="BJ22">
        <v>30</v>
      </c>
      <c r="BK22" s="58">
        <v>0.16564417177914109</v>
      </c>
      <c r="BL22" s="152"/>
      <c r="BM22" s="151">
        <v>0.74746443242741434</v>
      </c>
      <c r="BN22" s="150"/>
      <c r="BO22" s="58">
        <v>0.74746443242741434</v>
      </c>
      <c r="BP22" s="150"/>
      <c r="BQ22" s="151">
        <v>0.36472509526401736</v>
      </c>
      <c r="BR22" s="68"/>
      <c r="BS22" s="58">
        <v>0.11923276308968378</v>
      </c>
      <c r="BT22" s="153"/>
      <c r="BU22" s="63">
        <v>0.46092184368737477</v>
      </c>
      <c r="BV22" s="68">
        <v>22</v>
      </c>
      <c r="BW22" s="58">
        <v>7.3170731707317069E-2</v>
      </c>
      <c r="BX22" s="68">
        <v>22</v>
      </c>
      <c r="BY22" s="63">
        <v>0.19354838709677419</v>
      </c>
    </row>
    <row r="23" spans="1:77" x14ac:dyDescent="0.45">
      <c r="A23" s="56" t="s">
        <v>118</v>
      </c>
      <c r="B23" s="57"/>
      <c r="C23" s="58">
        <v>0.38441516186757763</v>
      </c>
      <c r="D23" s="57"/>
      <c r="E23" s="58">
        <v>0.40845070422535218</v>
      </c>
      <c r="F23" s="143"/>
      <c r="G23" s="58">
        <v>0.36206896551724133</v>
      </c>
      <c r="H23" s="59"/>
      <c r="I23" s="58">
        <v>-6.8965517241379492E-3</v>
      </c>
      <c r="J23" s="59"/>
      <c r="K23" s="58">
        <v>0.99547063703246741</v>
      </c>
      <c r="L23" s="57"/>
      <c r="M23" s="58">
        <v>0.33653846153846156</v>
      </c>
      <c r="N23" s="61"/>
      <c r="O23" s="58">
        <v>0.70226537216828477</v>
      </c>
      <c r="P23" s="69" t="s">
        <v>105</v>
      </c>
      <c r="Q23" s="63"/>
      <c r="R23" s="2"/>
      <c r="S23" s="58">
        <v>0.89426523297491034</v>
      </c>
      <c r="T23" s="69" t="s">
        <v>105</v>
      </c>
      <c r="U23" s="70"/>
      <c r="V23" s="57"/>
      <c r="W23" s="58">
        <v>0.28461538461538444</v>
      </c>
      <c r="X23" s="57"/>
      <c r="Y23" s="58">
        <v>0.51111111111111107</v>
      </c>
      <c r="Z23" s="65"/>
      <c r="AA23" s="58">
        <v>0</v>
      </c>
      <c r="AB23" s="145">
        <v>0</v>
      </c>
      <c r="AC23" s="146" t="s">
        <v>128</v>
      </c>
      <c r="AD23" s="59"/>
      <c r="AE23" s="58">
        <v>6.5989847715736114E-2</v>
      </c>
      <c r="AF23" s="59"/>
      <c r="AG23" s="58">
        <v>0.46019226029085525</v>
      </c>
      <c r="AH23" s="145">
        <v>0</v>
      </c>
      <c r="AI23" s="146" t="s">
        <v>128</v>
      </c>
      <c r="AJ23" s="145">
        <v>0</v>
      </c>
      <c r="AK23" s="146" t="s">
        <v>128</v>
      </c>
      <c r="AL23" s="147"/>
      <c r="AM23" s="58">
        <v>0.1037277147487843</v>
      </c>
      <c r="AN23" s="65"/>
      <c r="AO23" s="58">
        <v>0.63248436103663985</v>
      </c>
      <c r="AP23" s="149">
        <v>88.936745727621428</v>
      </c>
      <c r="AQ23" s="58">
        <f>(AP23-AQ$26)/AQ$28</f>
        <v>0.85991050235832922</v>
      </c>
      <c r="AR23" s="148">
        <v>85.767794277609937</v>
      </c>
      <c r="AS23" s="58">
        <v>0.68479726254015605</v>
      </c>
      <c r="AT23" s="150"/>
      <c r="AU23" s="58">
        <v>0.14750784244579751</v>
      </c>
      <c r="AV23" s="59"/>
      <c r="AW23" s="58">
        <v>0.34370179948586116</v>
      </c>
      <c r="AX23" s="57"/>
      <c r="AY23" s="58">
        <v>0.14482176159697224</v>
      </c>
      <c r="AZ23" s="59"/>
      <c r="BA23" s="58">
        <v>0.17121418826739435</v>
      </c>
      <c r="BB23" s="151"/>
      <c r="BC23" s="58">
        <v>0.10740740740740741</v>
      </c>
      <c r="BD23" s="59"/>
      <c r="BE23" s="58">
        <v>0.73381294964028776</v>
      </c>
      <c r="BF23" s="59"/>
      <c r="BG23" s="58">
        <v>0.20192307692307687</v>
      </c>
      <c r="BH23" s="68"/>
      <c r="BI23" s="58">
        <v>0.27075812274368233</v>
      </c>
      <c r="BJ23">
        <v>3</v>
      </c>
      <c r="BK23" s="58">
        <v>0</v>
      </c>
      <c r="BL23" s="152"/>
      <c r="BM23" s="151">
        <v>0.25545988349154036</v>
      </c>
      <c r="BN23" s="150"/>
      <c r="BO23" s="58">
        <v>0.25545988349154036</v>
      </c>
      <c r="BP23" s="150"/>
      <c r="BQ23" s="151">
        <v>1</v>
      </c>
      <c r="BR23" s="68"/>
      <c r="BS23" s="58">
        <v>1</v>
      </c>
      <c r="BT23" s="156" t="s">
        <v>116</v>
      </c>
      <c r="BU23" s="63"/>
      <c r="BV23" s="68">
        <v>174</v>
      </c>
      <c r="BW23" s="58">
        <v>1</v>
      </c>
      <c r="BX23" s="153" t="s">
        <v>116</v>
      </c>
      <c r="BY23" s="63"/>
    </row>
    <row r="24" spans="1:77" x14ac:dyDescent="0.45">
      <c r="A24" s="71" t="s">
        <v>119</v>
      </c>
      <c r="B24" s="72"/>
      <c r="C24" s="73">
        <v>0.96208439451915462</v>
      </c>
      <c r="D24" s="72"/>
      <c r="E24" s="73">
        <v>0.97183098591549288</v>
      </c>
      <c r="F24" s="157"/>
      <c r="G24" s="73">
        <v>4.3103448275862044E-2</v>
      </c>
      <c r="H24" s="74"/>
      <c r="I24" s="73">
        <v>0.40948275862068961</v>
      </c>
      <c r="J24" s="74"/>
      <c r="K24" s="73">
        <v>0.28314772009649825</v>
      </c>
      <c r="L24" s="72"/>
      <c r="M24" s="73">
        <v>0.21634615384615388</v>
      </c>
      <c r="N24" s="76"/>
      <c r="O24" s="73">
        <v>3.2362459546925564E-2</v>
      </c>
      <c r="P24" s="158"/>
      <c r="Q24" s="78">
        <v>0.14285714285714285</v>
      </c>
      <c r="R24" s="79"/>
      <c r="S24" s="73">
        <v>8.1989247311827954E-2</v>
      </c>
      <c r="T24" s="80"/>
      <c r="U24" s="78">
        <v>0.74089068825910931</v>
      </c>
      <c r="V24" s="72"/>
      <c r="W24" s="73">
        <v>0.5384615384615381</v>
      </c>
      <c r="X24" s="72"/>
      <c r="Y24" s="73">
        <v>0.8</v>
      </c>
      <c r="Z24" s="81"/>
      <c r="AA24" s="73">
        <v>0.15296877234710321</v>
      </c>
      <c r="AB24" s="159">
        <v>0</v>
      </c>
      <c r="AC24" s="160" t="s">
        <v>128</v>
      </c>
      <c r="AD24" s="74"/>
      <c r="AE24" s="73">
        <v>0.29949238578680182</v>
      </c>
      <c r="AF24" s="74"/>
      <c r="AG24" s="73">
        <v>0.80404239585900905</v>
      </c>
      <c r="AH24" s="159">
        <v>0</v>
      </c>
      <c r="AI24" s="160" t="s">
        <v>128</v>
      </c>
      <c r="AJ24" s="159">
        <v>0</v>
      </c>
      <c r="AK24" s="160" t="s">
        <v>128</v>
      </c>
      <c r="AL24" s="161"/>
      <c r="AM24" s="73">
        <v>0.44173419773095468</v>
      </c>
      <c r="AN24" s="81"/>
      <c r="AO24" s="73">
        <v>0.64175131216251757</v>
      </c>
      <c r="AP24" s="163">
        <v>81.721425832466778</v>
      </c>
      <c r="AQ24" s="58">
        <f>(AP24-AQ$26)/AQ$28</f>
        <v>0</v>
      </c>
      <c r="AR24" s="162">
        <v>76.217753304681196</v>
      </c>
      <c r="AS24" s="58">
        <v>0</v>
      </c>
      <c r="AT24" s="164"/>
      <c r="AU24" s="73">
        <v>0.71290342278286978</v>
      </c>
      <c r="AV24" s="74"/>
      <c r="AW24" s="73">
        <v>0.78688946015424166</v>
      </c>
      <c r="AX24" s="72"/>
      <c r="AY24" s="73">
        <v>0.70389960564362697</v>
      </c>
      <c r="AZ24" s="74"/>
      <c r="BA24" s="73">
        <v>0.77080491132332862</v>
      </c>
      <c r="BB24" s="165"/>
      <c r="BC24" s="73">
        <v>0.87037037037037057</v>
      </c>
      <c r="BD24" s="74"/>
      <c r="BE24" s="73">
        <v>0.56834532374100721</v>
      </c>
      <c r="BF24" s="74"/>
      <c r="BG24" s="73">
        <v>0.63461538461538458</v>
      </c>
      <c r="BH24" s="84"/>
      <c r="BI24" s="73">
        <v>0.78339350180505418</v>
      </c>
      <c r="BJ24" s="166">
        <v>157</v>
      </c>
      <c r="BK24" s="73">
        <v>0.94478527607361962</v>
      </c>
      <c r="BL24" s="167"/>
      <c r="BM24" s="165">
        <v>0.47507368811938638</v>
      </c>
      <c r="BN24" s="164"/>
      <c r="BO24" s="73">
        <v>0.47507368811938638</v>
      </c>
      <c r="BP24" s="164"/>
      <c r="BQ24" s="165">
        <v>0.15078933043004897</v>
      </c>
      <c r="BR24" s="84"/>
      <c r="BS24" s="73">
        <v>9.2794193882840853E-2</v>
      </c>
      <c r="BT24" s="168"/>
      <c r="BU24" s="78">
        <v>0.3587174348697395</v>
      </c>
      <c r="BV24" s="84">
        <v>24</v>
      </c>
      <c r="BW24" s="73">
        <v>8.5365853658536592E-2</v>
      </c>
      <c r="BX24" s="168">
        <v>24</v>
      </c>
      <c r="BY24" s="78">
        <v>0.22580645161290322</v>
      </c>
    </row>
    <row r="25" spans="1:77" s="1" customFormat="1" x14ac:dyDescent="0.45">
      <c r="A25" s="169" t="s">
        <v>0</v>
      </c>
      <c r="B25" s="170"/>
      <c r="C25" s="171">
        <v>0.48226923251464721</v>
      </c>
      <c r="D25" s="170"/>
      <c r="E25" s="171">
        <v>0.50134411690370606</v>
      </c>
      <c r="F25" s="170"/>
      <c r="G25" s="171">
        <v>2.1259070709343533</v>
      </c>
      <c r="H25" s="170">
        <v>5.5566666666666667E-2</v>
      </c>
      <c r="I25" s="171">
        <v>0.36869826937547023</v>
      </c>
      <c r="J25" s="172"/>
      <c r="K25" s="171">
        <v>0.30293185586170318</v>
      </c>
      <c r="L25" s="170"/>
      <c r="M25" s="171">
        <v>0.85576923076923084</v>
      </c>
      <c r="N25" s="173"/>
      <c r="O25" s="171">
        <v>0.15210355987055016</v>
      </c>
      <c r="P25" s="173"/>
      <c r="Q25" s="171">
        <v>0.2857142857142857</v>
      </c>
      <c r="R25" s="173"/>
      <c r="S25" s="171">
        <v>0.16895659099960175</v>
      </c>
      <c r="T25" s="173"/>
      <c r="U25" s="171">
        <v>0.55573549257759791</v>
      </c>
      <c r="V25" s="174"/>
      <c r="W25" s="171">
        <v>0.44722222222222235</v>
      </c>
      <c r="X25" s="174"/>
      <c r="Y25" s="171">
        <v>0.55432098765432025</v>
      </c>
      <c r="Z25" s="174"/>
      <c r="AA25" s="171">
        <v>0.39334342149220836</v>
      </c>
      <c r="AB25" s="174">
        <v>0</v>
      </c>
      <c r="AC25" s="171" t="s">
        <v>128</v>
      </c>
      <c r="AD25" s="174"/>
      <c r="AE25" s="171">
        <v>0.29300620417371642</v>
      </c>
      <c r="AF25" s="174"/>
      <c r="AG25" s="171">
        <v>0.56025251280365884</v>
      </c>
      <c r="AH25" s="174">
        <v>0</v>
      </c>
      <c r="AI25" s="171" t="s">
        <v>128</v>
      </c>
      <c r="AJ25" s="174">
        <v>0</v>
      </c>
      <c r="AK25" s="171" t="s">
        <v>128</v>
      </c>
      <c r="AL25" s="175"/>
      <c r="AM25" s="171">
        <v>0.47445218306133552</v>
      </c>
      <c r="AN25" s="174"/>
      <c r="AO25" s="171">
        <v>0.73279766264411184</v>
      </c>
      <c r="AP25" s="175">
        <f>AVERAGE(AP7:AP24)</f>
        <v>86.862567810170731</v>
      </c>
      <c r="AQ25" s="171">
        <f>(AP25-AQ$26)/AQ$28</f>
        <v>0.61271323309056747</v>
      </c>
      <c r="AR25" s="175">
        <v>86.862567810170731</v>
      </c>
      <c r="AS25" s="171">
        <v>0.76329932554953972</v>
      </c>
      <c r="AT25" s="175"/>
      <c r="AU25" s="171">
        <v>0.37242960891711346</v>
      </c>
      <c r="AV25" s="174"/>
      <c r="AW25" s="171">
        <v>0.49145958297629266</v>
      </c>
      <c r="AX25" s="170"/>
      <c r="AY25" s="171">
        <v>0.30945876836866826</v>
      </c>
      <c r="AZ25" s="174"/>
      <c r="BA25" s="171">
        <v>0.35997423071092938</v>
      </c>
      <c r="BB25" s="174"/>
      <c r="BC25" s="171">
        <v>0.34718792866941017</v>
      </c>
      <c r="BD25" s="174"/>
      <c r="BE25" s="171">
        <v>0.46442845723421244</v>
      </c>
      <c r="BF25" s="174"/>
      <c r="BG25" s="171">
        <v>0.42094017094017083</v>
      </c>
      <c r="BH25" s="174"/>
      <c r="BI25" s="171">
        <v>0.34636983553951062</v>
      </c>
      <c r="BJ25" s="174">
        <v>59.944444444444443</v>
      </c>
      <c r="BK25" s="171">
        <v>0.34935241990456711</v>
      </c>
      <c r="BL25" s="175"/>
      <c r="BM25" s="171">
        <v>0.47567067148379377</v>
      </c>
      <c r="BN25" s="174"/>
      <c r="BO25" s="171">
        <v>0.34480122324159052</v>
      </c>
      <c r="BP25" s="174"/>
      <c r="BQ25" s="171">
        <v>0.41904070646585606</v>
      </c>
      <c r="BR25" s="174"/>
      <c r="BS25" s="171">
        <v>0.16580266113703129</v>
      </c>
      <c r="BT25" s="174"/>
      <c r="BU25" s="171">
        <v>0.3493236472945892</v>
      </c>
      <c r="BV25" s="174">
        <v>47.222222222222221</v>
      </c>
      <c r="BW25" s="171">
        <v>0.22696476964769646</v>
      </c>
      <c r="BX25" s="174">
        <v>31.625</v>
      </c>
      <c r="BY25" s="171">
        <v>0.34879032258064518</v>
      </c>
    </row>
    <row r="26" spans="1:77" x14ac:dyDescent="0.45">
      <c r="B26" s="93" t="s">
        <v>120</v>
      </c>
      <c r="C26" s="58">
        <v>0.1055813953488372</v>
      </c>
      <c r="D26" s="176" t="s">
        <v>120</v>
      </c>
      <c r="E26" s="58">
        <v>0.02</v>
      </c>
      <c r="F26" s="93" t="s">
        <v>120</v>
      </c>
      <c r="G26" s="58">
        <v>4.7E-2</v>
      </c>
      <c r="H26" s="93" t="s">
        <v>120</v>
      </c>
      <c r="I26" s="58">
        <v>2.29E-2</v>
      </c>
      <c r="J26" s="93" t="s">
        <v>120</v>
      </c>
      <c r="K26" s="58">
        <v>8.0518282246453197</v>
      </c>
      <c r="L26" s="93" t="s">
        <v>120</v>
      </c>
      <c r="M26" s="58">
        <v>7.5999999999999998E-2</v>
      </c>
      <c r="N26" s="93" t="s">
        <v>120</v>
      </c>
      <c r="O26" s="58">
        <v>9</v>
      </c>
      <c r="P26" s="98" t="s">
        <v>120</v>
      </c>
      <c r="Q26" s="63">
        <v>9</v>
      </c>
      <c r="R26" s="93" t="s">
        <v>120</v>
      </c>
      <c r="S26" s="58">
        <v>103</v>
      </c>
      <c r="T26" s="98" t="s">
        <v>120</v>
      </c>
      <c r="U26" s="99">
        <v>103</v>
      </c>
      <c r="V26" s="93" t="s">
        <v>120</v>
      </c>
      <c r="W26" s="101">
        <v>0.67600000000000005</v>
      </c>
      <c r="X26" s="93" t="s">
        <v>120</v>
      </c>
      <c r="Y26" s="101">
        <v>0.95499999999999996</v>
      </c>
      <c r="Z26" s="93" t="s">
        <v>120</v>
      </c>
      <c r="AA26" s="101">
        <v>46.857142857142797</v>
      </c>
      <c r="AB26" s="93" t="s">
        <v>120</v>
      </c>
      <c r="AC26" s="101">
        <v>0</v>
      </c>
      <c r="AD26" s="93" t="s">
        <v>120</v>
      </c>
      <c r="AE26" s="101">
        <v>0.66</v>
      </c>
      <c r="AF26" s="93" t="s">
        <v>120</v>
      </c>
      <c r="AG26" s="101">
        <v>0.12239999999999999</v>
      </c>
      <c r="AH26" s="93" t="s">
        <v>120</v>
      </c>
      <c r="AI26" s="147">
        <v>0</v>
      </c>
      <c r="AJ26" s="93" t="s">
        <v>120</v>
      </c>
      <c r="AK26" s="101">
        <v>0</v>
      </c>
      <c r="AL26" s="94" t="s">
        <v>120</v>
      </c>
      <c r="AM26" s="101">
        <v>47.678571428571402</v>
      </c>
      <c r="AN26" s="93" t="s">
        <v>120</v>
      </c>
      <c r="AO26" s="101">
        <v>26.6666666666666</v>
      </c>
      <c r="AP26" s="93" t="s">
        <v>120</v>
      </c>
      <c r="AQ26" s="101">
        <f>MIN(AP7:AP24)</f>
        <v>81.721425832466778</v>
      </c>
      <c r="AR26" s="94" t="s">
        <v>120</v>
      </c>
      <c r="AS26" s="101">
        <v>76.217753304681196</v>
      </c>
      <c r="AT26" s="94" t="s">
        <v>120</v>
      </c>
      <c r="AU26" s="101">
        <v>0.1040157107063046</v>
      </c>
      <c r="AV26" s="93" t="s">
        <v>120</v>
      </c>
      <c r="AW26" s="101">
        <v>0.28060000000000002</v>
      </c>
      <c r="AX26" s="93" t="s">
        <v>120</v>
      </c>
      <c r="AY26" s="101">
        <v>2.236724120753213E-2</v>
      </c>
      <c r="AZ26" s="93" t="s">
        <v>120</v>
      </c>
      <c r="BA26" s="101">
        <v>0.124</v>
      </c>
      <c r="BB26" s="93" t="s">
        <v>120</v>
      </c>
      <c r="BC26" s="101">
        <v>3.5099999999999999E-2</v>
      </c>
      <c r="BD26" s="93" t="s">
        <v>120</v>
      </c>
      <c r="BE26" s="101">
        <v>6.0999999999999999E-2</v>
      </c>
      <c r="BF26" s="93" t="s">
        <v>120</v>
      </c>
      <c r="BG26" s="101">
        <v>2.5000000000000001E-2</v>
      </c>
      <c r="BH26" s="93" t="s">
        <v>120</v>
      </c>
      <c r="BI26" s="101">
        <v>4</v>
      </c>
      <c r="BJ26" s="93" t="s">
        <v>120</v>
      </c>
      <c r="BK26" s="101">
        <v>3</v>
      </c>
      <c r="BL26" s="94" t="s">
        <v>120</v>
      </c>
      <c r="BM26" s="95">
        <v>14730</v>
      </c>
      <c r="BN26" s="93" t="s">
        <v>120</v>
      </c>
      <c r="BO26" s="101">
        <v>7.97</v>
      </c>
      <c r="BP26" s="93" t="s">
        <v>120</v>
      </c>
      <c r="BQ26" s="101">
        <v>16.010000000000002</v>
      </c>
      <c r="BR26" s="93" t="s">
        <v>120</v>
      </c>
      <c r="BS26" s="101">
        <v>326</v>
      </c>
      <c r="BT26" s="98" t="s">
        <v>120</v>
      </c>
      <c r="BU26" s="101">
        <v>326</v>
      </c>
      <c r="BV26" s="93" t="s">
        <v>120</v>
      </c>
      <c r="BW26" s="101">
        <v>10</v>
      </c>
      <c r="BX26" s="98" t="s">
        <v>120</v>
      </c>
      <c r="BY26" s="97">
        <v>10</v>
      </c>
    </row>
    <row r="27" spans="1:77" x14ac:dyDescent="0.45">
      <c r="B27" s="93" t="s">
        <v>121</v>
      </c>
      <c r="C27" s="58">
        <v>0.49545454545454548</v>
      </c>
      <c r="D27" s="176" t="s">
        <v>121</v>
      </c>
      <c r="E27" s="58">
        <v>9.0999999999999998E-2</v>
      </c>
      <c r="F27" s="93" t="s">
        <v>121</v>
      </c>
      <c r="G27" s="58">
        <v>0.16300000000000001</v>
      </c>
      <c r="H27" s="93" t="s">
        <v>121</v>
      </c>
      <c r="I27" s="58">
        <v>0.1115</v>
      </c>
      <c r="J27" s="93" t="s">
        <v>121</v>
      </c>
      <c r="K27" s="58">
        <v>14.806533755667299</v>
      </c>
      <c r="L27" s="93" t="s">
        <v>121</v>
      </c>
      <c r="M27" s="58">
        <v>0.28399999999999997</v>
      </c>
      <c r="N27" s="93" t="s">
        <v>121</v>
      </c>
      <c r="O27" s="58">
        <v>318</v>
      </c>
      <c r="P27" s="98" t="s">
        <v>121</v>
      </c>
      <c r="Q27" s="63">
        <v>79</v>
      </c>
      <c r="R27" s="93" t="s">
        <v>121</v>
      </c>
      <c r="S27" s="58">
        <v>2335</v>
      </c>
      <c r="T27" s="98" t="s">
        <v>121</v>
      </c>
      <c r="U27" s="99">
        <v>350</v>
      </c>
      <c r="V27" s="93" t="s">
        <v>121</v>
      </c>
      <c r="W27" s="101">
        <v>0.93600000000000005</v>
      </c>
      <c r="X27" s="93" t="s">
        <v>121</v>
      </c>
      <c r="Y27" s="101">
        <v>1</v>
      </c>
      <c r="Z27" s="93" t="s">
        <v>121</v>
      </c>
      <c r="AA27" s="101">
        <v>60.209302325581397</v>
      </c>
      <c r="AB27" s="93" t="s">
        <v>121</v>
      </c>
      <c r="AC27" s="101">
        <v>0</v>
      </c>
      <c r="AD27" s="93" t="s">
        <v>121</v>
      </c>
      <c r="AE27" s="101">
        <v>0.85699999999999998</v>
      </c>
      <c r="AF27" s="93" t="s">
        <v>121</v>
      </c>
      <c r="AG27" s="101">
        <v>0.52810000000000001</v>
      </c>
      <c r="AH27" s="93" t="s">
        <v>121</v>
      </c>
      <c r="AI27" s="147">
        <v>0</v>
      </c>
      <c r="AJ27" s="93" t="s">
        <v>121</v>
      </c>
      <c r="AK27" s="101">
        <v>0</v>
      </c>
      <c r="AL27" s="94" t="s">
        <v>121</v>
      </c>
      <c r="AM27" s="101">
        <v>66.0416666666666</v>
      </c>
      <c r="AN27" s="93" t="s">
        <v>121</v>
      </c>
      <c r="AO27" s="101">
        <v>52.842105263157897</v>
      </c>
      <c r="AP27" s="93" t="s">
        <v>121</v>
      </c>
      <c r="AQ27" s="101">
        <f>MAX(AP7:AP24)</f>
        <v>90.112205890817535</v>
      </c>
      <c r="AR27" s="94" t="s">
        <v>121</v>
      </c>
      <c r="AS27" s="101">
        <v>90.163546454473078</v>
      </c>
      <c r="AT27" s="94" t="s">
        <v>121</v>
      </c>
      <c r="AU27" s="101">
        <v>0.21177410761854024</v>
      </c>
      <c r="AV27" s="93" t="s">
        <v>121</v>
      </c>
      <c r="AW27" s="101">
        <v>0.66959999999999997</v>
      </c>
      <c r="AX27" s="93" t="s">
        <v>121</v>
      </c>
      <c r="AY27" s="101">
        <v>6.8533772652388802E-2</v>
      </c>
      <c r="AZ27" s="93" t="s">
        <v>121</v>
      </c>
      <c r="BA27" s="101">
        <v>0.27060000000000001</v>
      </c>
      <c r="BB27" s="93" t="s">
        <v>121</v>
      </c>
      <c r="BC27" s="101">
        <v>0.11609999999999999</v>
      </c>
      <c r="BD27" s="93" t="s">
        <v>121</v>
      </c>
      <c r="BE27" s="101">
        <v>0.2</v>
      </c>
      <c r="BF27" s="93" t="s">
        <v>121</v>
      </c>
      <c r="BG27" s="101">
        <v>0.129</v>
      </c>
      <c r="BH27" s="93" t="s">
        <v>121</v>
      </c>
      <c r="BI27" s="101">
        <v>281</v>
      </c>
      <c r="BJ27" s="93" t="s">
        <v>121</v>
      </c>
      <c r="BK27" s="101">
        <v>166</v>
      </c>
      <c r="BL27" s="94" t="s">
        <v>121</v>
      </c>
      <c r="BM27" s="95">
        <v>100904</v>
      </c>
      <c r="BN27" s="93" t="s">
        <v>121</v>
      </c>
      <c r="BO27" s="101">
        <v>12.33</v>
      </c>
      <c r="BP27" s="93" t="s">
        <v>121</v>
      </c>
      <c r="BQ27" s="101">
        <v>34.380000000000003</v>
      </c>
      <c r="BR27" s="93" t="s">
        <v>121</v>
      </c>
      <c r="BS27" s="101">
        <v>2255</v>
      </c>
      <c r="BT27" s="98" t="s">
        <v>121</v>
      </c>
      <c r="BU27" s="101">
        <v>825</v>
      </c>
      <c r="BV27" s="93" t="s">
        <v>121</v>
      </c>
      <c r="BW27" s="101">
        <v>174</v>
      </c>
      <c r="BX27" s="98" t="s">
        <v>121</v>
      </c>
      <c r="BY27" s="97">
        <v>72</v>
      </c>
    </row>
    <row r="28" spans="1:77" x14ac:dyDescent="0.45">
      <c r="B28" s="102" t="s">
        <v>122</v>
      </c>
      <c r="C28" s="73">
        <v>0.38987315010570828</v>
      </c>
      <c r="D28" s="177" t="s">
        <v>122</v>
      </c>
      <c r="E28" s="73">
        <v>7.0999999999999994E-2</v>
      </c>
      <c r="F28" s="102" t="s">
        <v>122</v>
      </c>
      <c r="G28" s="73">
        <v>0.11600000000000001</v>
      </c>
      <c r="H28" s="102" t="s">
        <v>122</v>
      </c>
      <c r="I28" s="73">
        <v>8.8599999999999998E-2</v>
      </c>
      <c r="J28" s="102" t="s">
        <v>122</v>
      </c>
      <c r="K28" s="73">
        <v>6.7547055310219797</v>
      </c>
      <c r="L28" s="102" t="s">
        <v>122</v>
      </c>
      <c r="M28" s="73">
        <v>0.20799999999999996</v>
      </c>
      <c r="N28" s="102" t="s">
        <v>122</v>
      </c>
      <c r="O28" s="73">
        <v>309</v>
      </c>
      <c r="P28" s="109" t="s">
        <v>122</v>
      </c>
      <c r="Q28" s="78">
        <v>70</v>
      </c>
      <c r="R28" s="102" t="s">
        <v>122</v>
      </c>
      <c r="S28" s="73">
        <v>2232</v>
      </c>
      <c r="T28" s="109" t="s">
        <v>122</v>
      </c>
      <c r="U28" s="178">
        <v>247</v>
      </c>
      <c r="V28" s="102" t="s">
        <v>122</v>
      </c>
      <c r="W28" s="108">
        <v>0.26</v>
      </c>
      <c r="X28" s="102" t="s">
        <v>122</v>
      </c>
      <c r="Y28" s="108">
        <v>4.500000000000004E-2</v>
      </c>
      <c r="Z28" s="102" t="s">
        <v>122</v>
      </c>
      <c r="AA28" s="108">
        <v>13.3521594684386</v>
      </c>
      <c r="AB28" s="102" t="s">
        <v>122</v>
      </c>
      <c r="AC28" s="108">
        <v>0</v>
      </c>
      <c r="AD28" s="102" t="s">
        <v>122</v>
      </c>
      <c r="AE28" s="108">
        <v>0.19699999999999995</v>
      </c>
      <c r="AF28" s="102" t="s">
        <v>122</v>
      </c>
      <c r="AG28" s="108">
        <v>0.40570000000000001</v>
      </c>
      <c r="AH28" s="102" t="s">
        <v>122</v>
      </c>
      <c r="AI28" s="161">
        <v>0</v>
      </c>
      <c r="AJ28" s="102" t="s">
        <v>122</v>
      </c>
      <c r="AK28" s="108">
        <v>0</v>
      </c>
      <c r="AL28" s="103" t="s">
        <v>122</v>
      </c>
      <c r="AM28" s="108">
        <v>18.363095238095198</v>
      </c>
      <c r="AN28" s="102" t="s">
        <v>122</v>
      </c>
      <c r="AO28" s="108">
        <v>26.175438596491297</v>
      </c>
      <c r="AP28" s="102" t="s">
        <v>122</v>
      </c>
      <c r="AQ28" s="108">
        <f>AQ27-AQ26</f>
        <v>8.3907800583507566</v>
      </c>
      <c r="AR28" s="103" t="s">
        <v>122</v>
      </c>
      <c r="AS28" s="108">
        <v>13.945793149791882</v>
      </c>
      <c r="AT28" s="103" t="s">
        <v>122</v>
      </c>
      <c r="AU28" s="108">
        <v>0.10775839691223564</v>
      </c>
      <c r="AV28" s="102" t="s">
        <v>122</v>
      </c>
      <c r="AW28" s="108">
        <v>0.38899999999999996</v>
      </c>
      <c r="AX28" s="102" t="s">
        <v>122</v>
      </c>
      <c r="AY28" s="108">
        <v>4.6166531444856676E-2</v>
      </c>
      <c r="AZ28" s="102" t="s">
        <v>122</v>
      </c>
      <c r="BA28" s="108">
        <v>0.14660000000000001</v>
      </c>
      <c r="BB28" s="102" t="s">
        <v>122</v>
      </c>
      <c r="BC28" s="108">
        <v>8.0999999999999989E-2</v>
      </c>
      <c r="BD28" s="102" t="s">
        <v>122</v>
      </c>
      <c r="BE28" s="108">
        <v>0.13900000000000001</v>
      </c>
      <c r="BF28" s="102" t="s">
        <v>122</v>
      </c>
      <c r="BG28" s="108">
        <v>0.10400000000000001</v>
      </c>
      <c r="BH28" s="102" t="s">
        <v>122</v>
      </c>
      <c r="BI28" s="108">
        <v>277</v>
      </c>
      <c r="BJ28" s="102" t="s">
        <v>122</v>
      </c>
      <c r="BK28" s="108">
        <v>163</v>
      </c>
      <c r="BL28" s="103" t="s">
        <v>122</v>
      </c>
      <c r="BM28" s="108">
        <v>86174</v>
      </c>
      <c r="BN28" s="102" t="s">
        <v>122</v>
      </c>
      <c r="BO28" s="108">
        <v>4.3600000000000003</v>
      </c>
      <c r="BP28" s="102" t="s">
        <v>122</v>
      </c>
      <c r="BQ28" s="108">
        <v>18.37</v>
      </c>
      <c r="BR28" s="102" t="s">
        <v>122</v>
      </c>
      <c r="BS28" s="108">
        <v>1929</v>
      </c>
      <c r="BT28" s="109" t="s">
        <v>122</v>
      </c>
      <c r="BU28" s="108">
        <v>499</v>
      </c>
      <c r="BV28" s="102" t="s">
        <v>122</v>
      </c>
      <c r="BW28" s="108">
        <v>164</v>
      </c>
      <c r="BX28" s="109" t="s">
        <v>122</v>
      </c>
      <c r="BY28" s="106">
        <v>62</v>
      </c>
    </row>
  </sheetData>
  <mergeCells count="179">
    <mergeCell ref="F1:I1"/>
    <mergeCell ref="F2:I2"/>
    <mergeCell ref="D1:E1"/>
    <mergeCell ref="D2:E2"/>
    <mergeCell ref="B1:C1"/>
    <mergeCell ref="B2:C2"/>
    <mergeCell ref="N1:O1"/>
    <mergeCell ref="N2:O2"/>
    <mergeCell ref="L1:M1"/>
    <mergeCell ref="L2:M2"/>
    <mergeCell ref="J1:K1"/>
    <mergeCell ref="J2:K2"/>
    <mergeCell ref="T1:U1"/>
    <mergeCell ref="T2:U2"/>
    <mergeCell ref="R1:S1"/>
    <mergeCell ref="R2:S2"/>
    <mergeCell ref="P1:Q1"/>
    <mergeCell ref="P2:Q2"/>
    <mergeCell ref="AB1:AC1"/>
    <mergeCell ref="AB2:AC2"/>
    <mergeCell ref="Z1:AA1"/>
    <mergeCell ref="Z2:AA2"/>
    <mergeCell ref="V1:Y1"/>
    <mergeCell ref="V2:Y2"/>
    <mergeCell ref="AJ1:AK1"/>
    <mergeCell ref="AJ2:AK2"/>
    <mergeCell ref="AH1:AI1"/>
    <mergeCell ref="AH2:AI2"/>
    <mergeCell ref="AD1:AG1"/>
    <mergeCell ref="AD2:AG2"/>
    <mergeCell ref="AP1:AQ1"/>
    <mergeCell ref="AP2:AQ2"/>
    <mergeCell ref="AN1:AO1"/>
    <mergeCell ref="AN2:AO2"/>
    <mergeCell ref="AL1:AM1"/>
    <mergeCell ref="AL2:AM2"/>
    <mergeCell ref="AV1:AW1"/>
    <mergeCell ref="AV2:AW2"/>
    <mergeCell ref="AT1:AU1"/>
    <mergeCell ref="AT2:AU2"/>
    <mergeCell ref="AR1:AS1"/>
    <mergeCell ref="AR2:AS2"/>
    <mergeCell ref="BF1:BG1"/>
    <mergeCell ref="BF2:BG2"/>
    <mergeCell ref="BD1:BE1"/>
    <mergeCell ref="BD2:BE2"/>
    <mergeCell ref="AX1:BC1"/>
    <mergeCell ref="AX2:BC2"/>
    <mergeCell ref="BN1:BO1"/>
    <mergeCell ref="BN2:BO2"/>
    <mergeCell ref="BL2:BM2"/>
    <mergeCell ref="BL1:BM1"/>
    <mergeCell ref="BH1:BK1"/>
    <mergeCell ref="BH2:BI2"/>
    <mergeCell ref="BJ2:BK2"/>
    <mergeCell ref="BR1:BS1"/>
    <mergeCell ref="BT1:BU1"/>
    <mergeCell ref="BT2:BU2"/>
    <mergeCell ref="BR2:BS2"/>
    <mergeCell ref="BT3:BU3"/>
    <mergeCell ref="BP2:BQ2"/>
    <mergeCell ref="BP1:BQ1"/>
    <mergeCell ref="BT5:BU5"/>
    <mergeCell ref="BV5:BW5"/>
    <mergeCell ref="BX5:BY5"/>
    <mergeCell ref="BV1:BW1"/>
    <mergeCell ref="BV2:BW2"/>
    <mergeCell ref="BX1:BY1"/>
    <mergeCell ref="BX2:BY2"/>
    <mergeCell ref="BH5:BI5"/>
    <mergeCell ref="BJ5:BK5"/>
    <mergeCell ref="BL5:BM5"/>
    <mergeCell ref="BN5:BO5"/>
    <mergeCell ref="BP5:BQ5"/>
    <mergeCell ref="BR5:BS5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N5:O5"/>
    <mergeCell ref="P5:Q5"/>
    <mergeCell ref="R5:S5"/>
    <mergeCell ref="T5:U5"/>
    <mergeCell ref="V5:W5"/>
    <mergeCell ref="BP4:BQ4"/>
    <mergeCell ref="BR4:BS4"/>
    <mergeCell ref="BT4:BU4"/>
    <mergeCell ref="BV4:BW4"/>
    <mergeCell ref="BX4:BY4"/>
    <mergeCell ref="B5:C5"/>
    <mergeCell ref="D5:E5"/>
    <mergeCell ref="F5:G5"/>
    <mergeCell ref="H5:I5"/>
    <mergeCell ref="J5:K5"/>
    <mergeCell ref="BD4:BE4"/>
    <mergeCell ref="BF4:BG4"/>
    <mergeCell ref="BH4:BI4"/>
    <mergeCell ref="BJ4:BK4"/>
    <mergeCell ref="BL4:BM4"/>
    <mergeCell ref="BN4:BO4"/>
    <mergeCell ref="AR4:AS4"/>
    <mergeCell ref="AT4:AU4"/>
    <mergeCell ref="AV4:AW4"/>
    <mergeCell ref="AX4:AY4"/>
    <mergeCell ref="AZ4:BA4"/>
    <mergeCell ref="BB4:BC4"/>
    <mergeCell ref="AF4:AG4"/>
    <mergeCell ref="AH4:AI4"/>
    <mergeCell ref="AJ4:AK4"/>
    <mergeCell ref="AL4:AM4"/>
    <mergeCell ref="AN4:AO4"/>
    <mergeCell ref="AP4:AQ4"/>
    <mergeCell ref="T4:U4"/>
    <mergeCell ref="V4:W4"/>
    <mergeCell ref="X4:Y4"/>
    <mergeCell ref="Z4:AA4"/>
    <mergeCell ref="AB4:AC4"/>
    <mergeCell ref="AD4:AE4"/>
    <mergeCell ref="BX3:B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BJ3:BK3"/>
    <mergeCell ref="BL3:BM3"/>
    <mergeCell ref="BN3:BO3"/>
    <mergeCell ref="BP3:BQ3"/>
    <mergeCell ref="BR3:BS3"/>
    <mergeCell ref="BV3:BW3"/>
    <mergeCell ref="AX3:AY3"/>
    <mergeCell ref="AZ3:BA3"/>
    <mergeCell ref="BB3:BC3"/>
    <mergeCell ref="BD3:BE3"/>
    <mergeCell ref="BF3:BG3"/>
    <mergeCell ref="BH3:BI3"/>
    <mergeCell ref="AL3:AM3"/>
    <mergeCell ref="AN3:AO3"/>
    <mergeCell ref="AP3:AQ3"/>
    <mergeCell ref="AR3:AS3"/>
    <mergeCell ref="AT3:AU3"/>
    <mergeCell ref="AV3:AW3"/>
    <mergeCell ref="Z3:AA3"/>
    <mergeCell ref="AB3:AC3"/>
    <mergeCell ref="AD3:AE3"/>
    <mergeCell ref="AF3:AG3"/>
    <mergeCell ref="AH3:AI3"/>
    <mergeCell ref="AJ3:AK3"/>
    <mergeCell ref="N3:O3"/>
    <mergeCell ref="P3:Q3"/>
    <mergeCell ref="R3:S3"/>
    <mergeCell ref="T3:U3"/>
    <mergeCell ref="V3:W3"/>
    <mergeCell ref="X3:Y3"/>
    <mergeCell ref="B3:C3"/>
    <mergeCell ref="D3:E3"/>
    <mergeCell ref="F3:G3"/>
    <mergeCell ref="H3:I3"/>
    <mergeCell ref="J3:K3"/>
    <mergeCell ref="L3:M3"/>
  </mergeCells>
  <conditionalFormatting sqref="AH1">
    <cfRule type="colorScale" priority="39">
      <colorScale>
        <cfvo type="min"/>
        <cfvo type="max"/>
        <color rgb="FFFCFCFF"/>
        <color rgb="FFF8696B"/>
      </colorScale>
    </cfRule>
  </conditionalFormatting>
  <conditionalFormatting sqref="C7:C24">
    <cfRule type="colorScale" priority="33">
      <colorScale>
        <cfvo type="min"/>
        <cfvo type="max"/>
        <color rgb="FFFCFCFF"/>
        <color rgb="FFF8696B"/>
      </colorScale>
    </cfRule>
  </conditionalFormatting>
  <conditionalFormatting sqref="E7:E24">
    <cfRule type="colorScale" priority="32">
      <colorScale>
        <cfvo type="min"/>
        <cfvo type="max"/>
        <color rgb="FFFCFCFF"/>
        <color rgb="FFF8696B"/>
      </colorScale>
    </cfRule>
  </conditionalFormatting>
  <conditionalFormatting sqref="G7:G24">
    <cfRule type="colorScale" priority="34">
      <colorScale>
        <cfvo type="min"/>
        <cfvo type="max"/>
        <color rgb="FFFCFCFF"/>
        <color rgb="FFF8696B"/>
      </colorScale>
    </cfRule>
  </conditionalFormatting>
  <conditionalFormatting sqref="I7:I24">
    <cfRule type="colorScale" priority="11">
      <colorScale>
        <cfvo type="min"/>
        <cfvo type="max"/>
        <color rgb="FFFCFCFF"/>
        <color rgb="FFF8696B"/>
      </colorScale>
    </cfRule>
  </conditionalFormatting>
  <conditionalFormatting sqref="K7:K24">
    <cfRule type="colorScale" priority="31">
      <colorScale>
        <cfvo type="min"/>
        <cfvo type="max"/>
        <color rgb="FFFCFCFF"/>
        <color rgb="FFF8696B"/>
      </colorScale>
    </cfRule>
  </conditionalFormatting>
  <conditionalFormatting sqref="M7:M24">
    <cfRule type="colorScale" priority="35">
      <colorScale>
        <cfvo type="min"/>
        <cfvo type="max"/>
        <color rgb="FFFCFCFF"/>
        <color rgb="FFF8696B"/>
      </colorScale>
    </cfRule>
  </conditionalFormatting>
  <conditionalFormatting sqref="O7:O24 Q7:Q24">
    <cfRule type="colorScale" priority="36">
      <colorScale>
        <cfvo type="min"/>
        <cfvo type="max"/>
        <color rgb="FFFCFCFF"/>
        <color rgb="FFF8696B"/>
      </colorScale>
    </cfRule>
  </conditionalFormatting>
  <conditionalFormatting sqref="U7:U10 S7:S24 U12:U22 U24">
    <cfRule type="colorScale" priority="30">
      <colorScale>
        <cfvo type="min"/>
        <cfvo type="max"/>
        <color rgb="FFFCFCFF"/>
        <color rgb="FFF8696B"/>
      </colorScale>
    </cfRule>
  </conditionalFormatting>
  <conditionalFormatting sqref="U7:U10 U12:U22 U24">
    <cfRule type="colorScale" priority="29">
      <colorScale>
        <cfvo type="min"/>
        <cfvo type="max"/>
        <color rgb="FFFCFCFF"/>
        <color rgb="FFF8696B"/>
      </colorScale>
    </cfRule>
  </conditionalFormatting>
  <conditionalFormatting sqref="W7:W24">
    <cfRule type="colorScale" priority="27">
      <colorScale>
        <cfvo type="min"/>
        <cfvo type="max"/>
        <color rgb="FFF8696B"/>
        <color rgb="FFFCFCFF"/>
      </colorScale>
    </cfRule>
    <cfRule type="colorScale" priority="37">
      <colorScale>
        <cfvo type="min"/>
        <cfvo type="max"/>
        <color rgb="FFFCFCFF"/>
        <color rgb="FFF8696B"/>
      </colorScale>
    </cfRule>
  </conditionalFormatting>
  <conditionalFormatting sqref="Y7:Y24">
    <cfRule type="colorScale" priority="18">
      <colorScale>
        <cfvo type="min"/>
        <cfvo type="max"/>
        <color rgb="FFF8696B"/>
        <color rgb="FFFCFCFF"/>
      </colorScale>
    </cfRule>
  </conditionalFormatting>
  <conditionalFormatting sqref="AA7:AA24">
    <cfRule type="colorScale" priority="26">
      <colorScale>
        <cfvo type="min"/>
        <cfvo type="max"/>
        <color rgb="FFF8696B"/>
        <color rgb="FFFCFCFF"/>
      </colorScale>
    </cfRule>
  </conditionalFormatting>
  <conditionalFormatting sqref="AC7:AC24">
    <cfRule type="colorScale" priority="10">
      <colorScale>
        <cfvo type="min"/>
        <cfvo type="max"/>
        <color rgb="FFFCFCFF"/>
        <color rgb="FFF8696B"/>
      </colorScale>
    </cfRule>
  </conditionalFormatting>
  <conditionalFormatting sqref="AE7:AE24">
    <cfRule type="colorScale" priority="28">
      <colorScale>
        <cfvo type="min"/>
        <cfvo type="max"/>
        <color rgb="FFF8696B"/>
        <color rgb="FFFCFCFF"/>
      </colorScale>
    </cfRule>
  </conditionalFormatting>
  <conditionalFormatting sqref="AG7:AG24">
    <cfRule type="colorScale" priority="14">
      <colorScale>
        <cfvo type="min"/>
        <cfvo type="max"/>
        <color rgb="FFFCFCFF"/>
        <color rgb="FFF8696B"/>
      </colorScale>
    </cfRule>
  </conditionalFormatting>
  <conditionalFormatting sqref="AI7:AI24">
    <cfRule type="colorScale" priority="9">
      <colorScale>
        <cfvo type="min"/>
        <cfvo type="max"/>
        <color rgb="FFFCFCFF"/>
        <color rgb="FFF8696B"/>
      </colorScale>
    </cfRule>
  </conditionalFormatting>
  <conditionalFormatting sqref="AK7:AK24">
    <cfRule type="colorScale" priority="8">
      <colorScale>
        <cfvo type="min"/>
        <cfvo type="max"/>
        <color rgb="FFFCFCFF"/>
        <color rgb="FFF8696B"/>
      </colorScale>
    </cfRule>
  </conditionalFormatting>
  <conditionalFormatting sqref="AM7:AM24">
    <cfRule type="colorScale" priority="24">
      <colorScale>
        <cfvo type="min"/>
        <cfvo type="max"/>
        <color rgb="FFF8696B"/>
        <color rgb="FFFCFCFF"/>
      </colorScale>
    </cfRule>
  </conditionalFormatting>
  <conditionalFormatting sqref="AO7:AO24">
    <cfRule type="colorScale" priority="25">
      <colorScale>
        <cfvo type="min"/>
        <cfvo type="max"/>
        <color rgb="FFF8696B"/>
        <color rgb="FFFCFCFF"/>
      </colorScale>
    </cfRule>
  </conditionalFormatting>
  <conditionalFormatting sqref="AU7:AU24">
    <cfRule type="colorScale" priority="5">
      <colorScale>
        <cfvo type="min"/>
        <cfvo type="max"/>
        <color rgb="FFF8696B"/>
        <color rgb="FFFCFCFF"/>
      </colorScale>
    </cfRule>
  </conditionalFormatting>
  <conditionalFormatting sqref="AW7:AW24">
    <cfRule type="colorScale" priority="22">
      <colorScale>
        <cfvo type="min"/>
        <cfvo type="max"/>
        <color rgb="FFF8696B"/>
        <color rgb="FFFCFCFF"/>
      </colorScale>
    </cfRule>
  </conditionalFormatting>
  <conditionalFormatting sqref="AY7:AY24">
    <cfRule type="colorScale" priority="20">
      <colorScale>
        <cfvo type="min"/>
        <cfvo type="max"/>
        <color rgb="FFFCFCFF"/>
        <color rgb="FFF8696B"/>
      </colorScale>
    </cfRule>
  </conditionalFormatting>
  <conditionalFormatting sqref="BA7:BA24">
    <cfRule type="colorScale" priority="13">
      <colorScale>
        <cfvo type="min"/>
        <cfvo type="max"/>
        <color rgb="FFFCFCFF"/>
        <color rgb="FFF8696B"/>
      </colorScale>
    </cfRule>
  </conditionalFormatting>
  <conditionalFormatting sqref="BC7:BC24">
    <cfRule type="colorScale" priority="12">
      <colorScale>
        <cfvo type="min"/>
        <cfvo type="max"/>
        <color rgb="FFFCFCFF"/>
        <color rgb="FFF8696B"/>
      </colorScale>
    </cfRule>
  </conditionalFormatting>
  <conditionalFormatting sqref="BE7:BE24">
    <cfRule type="colorScale" priority="23">
      <colorScale>
        <cfvo type="min"/>
        <cfvo type="max"/>
        <color rgb="FFFCFCFF"/>
        <color rgb="FFF8696B"/>
      </colorScale>
    </cfRule>
  </conditionalFormatting>
  <conditionalFormatting sqref="BG7:BG24">
    <cfRule type="colorScale" priority="21">
      <colorScale>
        <cfvo type="min"/>
        <cfvo type="max"/>
        <color rgb="FFFCFCFF"/>
        <color rgb="FFF8696B"/>
      </colorScale>
    </cfRule>
  </conditionalFormatting>
  <conditionalFormatting sqref="BI7:BI24 BK7:BK24">
    <cfRule type="colorScale" priority="17">
      <colorScale>
        <cfvo type="min"/>
        <cfvo type="max"/>
        <color rgb="FFFCFCFF"/>
        <color rgb="FFF8696B"/>
      </colorScale>
    </cfRule>
  </conditionalFormatting>
  <conditionalFormatting sqref="BM7:BM24">
    <cfRule type="colorScale" priority="19">
      <colorScale>
        <cfvo type="min"/>
        <cfvo type="max"/>
        <color rgb="FFF8696B"/>
        <color rgb="FFFCFCFF"/>
      </colorScale>
    </cfRule>
  </conditionalFormatting>
  <conditionalFormatting sqref="BO7:BO24">
    <cfRule type="colorScale" priority="7">
      <colorScale>
        <cfvo type="min"/>
        <cfvo type="max"/>
        <color rgb="FFFCFCFF"/>
        <color rgb="FFF8696B"/>
      </colorScale>
    </cfRule>
  </conditionalFormatting>
  <conditionalFormatting sqref="BQ7:BQ24">
    <cfRule type="colorScale" priority="6">
      <colorScale>
        <cfvo type="min"/>
        <cfvo type="max"/>
        <color rgb="FFF8696B"/>
        <color rgb="FFFCFCFF"/>
      </colorScale>
    </cfRule>
  </conditionalFormatting>
  <conditionalFormatting sqref="BS7:BS24 BU7:BU24">
    <cfRule type="colorScale" priority="38">
      <colorScale>
        <cfvo type="min"/>
        <cfvo type="max"/>
        <color rgb="FFFCFCFF"/>
        <color rgb="FFF8696B"/>
      </colorScale>
    </cfRule>
  </conditionalFormatting>
  <conditionalFormatting sqref="BW7:BW24">
    <cfRule type="colorScale" priority="16">
      <colorScale>
        <cfvo type="min"/>
        <cfvo type="max"/>
        <color rgb="FFFCFCFF"/>
        <color rgb="FFF8696B"/>
      </colorScale>
    </cfRule>
  </conditionalFormatting>
  <conditionalFormatting sqref="BY7:BY24">
    <cfRule type="colorScale" priority="15">
      <colorScale>
        <cfvo type="min"/>
        <cfvo type="max"/>
        <color rgb="FFFCFCFF"/>
        <color rgb="FFF8696B"/>
      </colorScale>
    </cfRule>
  </conditionalFormatting>
  <conditionalFormatting sqref="AQ7:AQ24">
    <cfRule type="colorScale" priority="2">
      <colorScale>
        <cfvo type="min"/>
        <cfvo type="max"/>
        <color rgb="FFF8696B"/>
        <color rgb="FFFCFCFF"/>
      </colorScale>
    </cfRule>
  </conditionalFormatting>
  <conditionalFormatting sqref="AS7:AS24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2030D-582D-48C5-AC45-14A64DAA468B}">
  <dimension ref="A1:BW28"/>
  <sheetViews>
    <sheetView tabSelected="1" workbookViewId="0">
      <selection activeCell="J34" sqref="J34"/>
    </sheetView>
  </sheetViews>
  <sheetFormatPr defaultRowHeight="14.25" x14ac:dyDescent="0.45"/>
  <cols>
    <col min="1" max="1" width="24.33203125" bestFit="1" customWidth="1"/>
    <col min="2" max="2" width="10.59765625" bestFit="1" customWidth="1"/>
    <col min="3" max="3" width="7.265625" bestFit="1" customWidth="1"/>
    <col min="4" max="4" width="10.59765625" bestFit="1" customWidth="1"/>
    <col min="5" max="5" width="7.265625" bestFit="1" customWidth="1"/>
    <col min="6" max="6" width="10.59765625" bestFit="1" customWidth="1"/>
    <col min="7" max="7" width="7.6640625" bestFit="1" customWidth="1"/>
    <col min="8" max="8" width="10.59765625" bestFit="1" customWidth="1"/>
    <col min="9" max="9" width="7.6640625" bestFit="1" customWidth="1"/>
    <col min="10" max="10" width="10.59765625" bestFit="1" customWidth="1"/>
    <col min="11" max="11" width="7.6640625" bestFit="1" customWidth="1"/>
    <col min="12" max="12" width="10.59765625" bestFit="1" customWidth="1"/>
    <col min="13" max="13" width="7.6640625" bestFit="1" customWidth="1"/>
    <col min="14" max="14" width="11" bestFit="1" customWidth="1"/>
    <col min="15" max="15" width="7.6640625" bestFit="1" customWidth="1"/>
    <col min="16" max="16" width="14.86328125" bestFit="1" customWidth="1"/>
    <col min="17" max="17" width="7.6640625" bestFit="1" customWidth="1"/>
    <col min="18" max="18" width="11" bestFit="1" customWidth="1"/>
    <col min="19" max="19" width="7.6640625" bestFit="1" customWidth="1"/>
    <col min="20" max="20" width="14.86328125" bestFit="1" customWidth="1"/>
    <col min="21" max="21" width="7.6640625" bestFit="1" customWidth="1"/>
    <col min="22" max="22" width="8.46484375" bestFit="1" customWidth="1"/>
    <col min="23" max="23" width="7.6640625" bestFit="1" customWidth="1"/>
    <col min="24" max="24" width="8.46484375" bestFit="1" customWidth="1"/>
    <col min="25" max="25" width="7.6640625" bestFit="1" customWidth="1"/>
    <col min="26" max="26" width="8.46484375" bestFit="1" customWidth="1"/>
    <col min="27" max="27" width="7.6640625" bestFit="1" customWidth="1"/>
    <col min="28" max="28" width="8.46484375" bestFit="1" customWidth="1"/>
    <col min="29" max="29" width="7.6640625" bestFit="1" customWidth="1"/>
    <col min="30" max="30" width="8.46484375" bestFit="1" customWidth="1"/>
    <col min="31" max="31" width="7.6640625" bestFit="1" customWidth="1"/>
    <col min="32" max="32" width="8.46484375" bestFit="1" customWidth="1"/>
    <col min="33" max="33" width="7.6640625" bestFit="1" customWidth="1"/>
    <col min="34" max="34" width="8.46484375" bestFit="1" customWidth="1"/>
    <col min="35" max="35" width="7.6640625" bestFit="1" customWidth="1"/>
    <col min="36" max="36" width="8.46484375" bestFit="1" customWidth="1"/>
    <col min="37" max="37" width="7.6640625" bestFit="1" customWidth="1"/>
    <col min="38" max="38" width="8.46484375" bestFit="1" customWidth="1"/>
    <col min="39" max="39" width="7.6640625" bestFit="1" customWidth="1"/>
    <col min="40" max="40" width="8.46484375" bestFit="1" customWidth="1"/>
    <col min="41" max="41" width="7.6640625" bestFit="1" customWidth="1"/>
    <col min="42" max="42" width="10.59765625" bestFit="1" customWidth="1"/>
    <col min="43" max="43" width="7.6640625" bestFit="1" customWidth="1"/>
    <col min="44" max="44" width="10.59765625" bestFit="1" customWidth="1"/>
    <col min="45" max="45" width="7.6640625" bestFit="1" customWidth="1"/>
    <col min="46" max="46" width="8.46484375" bestFit="1" customWidth="1"/>
    <col min="47" max="47" width="7.6640625" bestFit="1" customWidth="1"/>
    <col min="48" max="48" width="10.19921875" bestFit="1" customWidth="1"/>
    <col min="49" max="49" width="7.6640625" bestFit="1" customWidth="1"/>
    <col min="50" max="50" width="8.46484375" bestFit="1" customWidth="1"/>
    <col min="51" max="51" width="7.6640625" bestFit="1" customWidth="1"/>
    <col min="52" max="52" width="8.46484375" bestFit="1" customWidth="1"/>
    <col min="53" max="53" width="7.6640625" bestFit="1" customWidth="1"/>
    <col min="54" max="54" width="8.46484375" bestFit="1" customWidth="1"/>
    <col min="55" max="55" width="7.6640625" bestFit="1" customWidth="1"/>
    <col min="56" max="56" width="8.46484375" bestFit="1" customWidth="1"/>
    <col min="57" max="57" width="7.6640625" bestFit="1" customWidth="1"/>
    <col min="58" max="58" width="8.46484375" bestFit="1" customWidth="1"/>
    <col min="59" max="59" width="7.6640625" bestFit="1" customWidth="1"/>
    <col min="60" max="60" width="10.59765625" bestFit="1" customWidth="1"/>
    <col min="61" max="61" width="7.6640625" bestFit="1" customWidth="1"/>
    <col min="62" max="62" width="10.59765625" bestFit="1" customWidth="1"/>
    <col min="63" max="63" width="7.6640625" bestFit="1" customWidth="1"/>
    <col min="64" max="64" width="8.46484375" bestFit="1" customWidth="1"/>
    <col min="65" max="65" width="9.265625" bestFit="1" customWidth="1"/>
    <col min="66" max="66" width="10.59765625" bestFit="1" customWidth="1"/>
    <col min="67" max="67" width="7.6640625" bestFit="1" customWidth="1"/>
    <col min="68" max="68" width="10.59765625" bestFit="1" customWidth="1"/>
    <col min="69" max="69" width="7.6640625" bestFit="1" customWidth="1"/>
    <col min="70" max="70" width="10.59765625" bestFit="1" customWidth="1"/>
    <col min="71" max="71" width="7.6640625" bestFit="1" customWidth="1"/>
    <col min="72" max="72" width="10.59765625" bestFit="1" customWidth="1"/>
    <col min="73" max="73" width="7.6640625" bestFit="1" customWidth="1"/>
    <col min="74" max="74" width="15.3984375" bestFit="1" customWidth="1"/>
    <col min="75" max="75" width="7.6640625" bestFit="1" customWidth="1"/>
  </cols>
  <sheetData>
    <row r="1" spans="1:75" ht="15.75" x14ac:dyDescent="0.5">
      <c r="A1" s="1" t="s">
        <v>1</v>
      </c>
      <c r="B1" s="200" t="s">
        <v>2</v>
      </c>
      <c r="C1" s="197"/>
      <c r="D1" s="203" t="s">
        <v>3</v>
      </c>
      <c r="E1" s="204"/>
      <c r="F1" s="196" t="s">
        <v>4</v>
      </c>
      <c r="G1" s="202"/>
      <c r="H1" s="202"/>
      <c r="I1" s="202"/>
      <c r="J1" s="200" t="s">
        <v>5</v>
      </c>
      <c r="K1" s="197"/>
      <c r="L1" s="196" t="s">
        <v>2</v>
      </c>
      <c r="M1" s="197"/>
      <c r="N1" s="191" t="s">
        <v>6</v>
      </c>
      <c r="O1" s="192"/>
      <c r="P1" s="194" t="s">
        <v>6</v>
      </c>
      <c r="Q1" s="179"/>
      <c r="R1" s="181" t="s">
        <v>7</v>
      </c>
      <c r="S1" s="181"/>
      <c r="T1" s="179" t="s">
        <v>7</v>
      </c>
      <c r="U1" s="179"/>
      <c r="V1" s="181" t="s">
        <v>8</v>
      </c>
      <c r="W1" s="181"/>
      <c r="X1" s="181"/>
      <c r="Y1" s="192"/>
      <c r="Z1" s="191" t="s">
        <v>9</v>
      </c>
      <c r="AA1" s="192"/>
      <c r="AB1" s="189" t="s">
        <v>10</v>
      </c>
      <c r="AC1" s="205"/>
      <c r="AD1" s="188" t="s">
        <v>11</v>
      </c>
      <c r="AE1" s="188"/>
      <c r="AF1" s="188"/>
      <c r="AG1" s="188"/>
      <c r="AH1" s="181" t="s">
        <v>12</v>
      </c>
      <c r="AI1" s="181"/>
      <c r="AJ1" s="181" t="s">
        <v>13</v>
      </c>
      <c r="AK1" s="181"/>
      <c r="AL1" s="181" t="s">
        <v>14</v>
      </c>
      <c r="AM1" s="181"/>
      <c r="AN1" s="181" t="s">
        <v>15</v>
      </c>
      <c r="AO1" s="181"/>
      <c r="AP1" s="181" t="s">
        <v>16</v>
      </c>
      <c r="AQ1" s="181"/>
      <c r="AR1" s="181" t="s">
        <v>17</v>
      </c>
      <c r="AS1" s="181"/>
      <c r="AT1" s="185" t="s">
        <v>18</v>
      </c>
      <c r="AU1" s="185"/>
      <c r="AV1" s="185" t="s">
        <v>19</v>
      </c>
      <c r="AW1" s="185"/>
      <c r="AX1" s="187" t="s">
        <v>20</v>
      </c>
      <c r="AY1" s="187"/>
      <c r="AZ1" s="187"/>
      <c r="BA1" s="187"/>
      <c r="BB1" s="187"/>
      <c r="BC1" s="187"/>
      <c r="BD1" s="181" t="s">
        <v>21</v>
      </c>
      <c r="BE1" s="181"/>
      <c r="BF1" s="181" t="s">
        <v>22</v>
      </c>
      <c r="BG1" s="181"/>
      <c r="BH1" s="181" t="s">
        <v>23</v>
      </c>
      <c r="BI1" s="181"/>
      <c r="BJ1" s="181"/>
      <c r="BK1" s="181"/>
      <c r="BL1" s="185" t="s">
        <v>24</v>
      </c>
      <c r="BM1" s="185"/>
      <c r="BN1" s="181" t="s">
        <v>25</v>
      </c>
      <c r="BO1" s="181"/>
      <c r="BP1" s="181" t="s">
        <v>26</v>
      </c>
      <c r="BQ1" s="181"/>
      <c r="BR1" s="181"/>
      <c r="BS1" s="181"/>
      <c r="BT1" s="179" t="s">
        <v>27</v>
      </c>
      <c r="BU1" s="179"/>
      <c r="BV1" s="179"/>
      <c r="BW1" s="179"/>
    </row>
    <row r="2" spans="1:75" ht="15.75" x14ac:dyDescent="0.45">
      <c r="A2" s="1" t="s">
        <v>28</v>
      </c>
      <c r="B2" s="201" t="s">
        <v>29</v>
      </c>
      <c r="C2" s="199"/>
      <c r="D2" s="198" t="s">
        <v>29</v>
      </c>
      <c r="E2" s="199"/>
      <c r="F2" s="198" t="s">
        <v>29</v>
      </c>
      <c r="G2" s="201"/>
      <c r="H2" s="201"/>
      <c r="I2" s="201"/>
      <c r="J2" s="201" t="s">
        <v>29</v>
      </c>
      <c r="K2" s="199"/>
      <c r="L2" s="198" t="s">
        <v>29</v>
      </c>
      <c r="M2" s="199"/>
      <c r="N2" s="190" t="s">
        <v>30</v>
      </c>
      <c r="O2" s="193"/>
      <c r="P2" s="195" t="s">
        <v>30</v>
      </c>
      <c r="Q2" s="180"/>
      <c r="R2" s="182" t="s">
        <v>30</v>
      </c>
      <c r="S2" s="182"/>
      <c r="T2" s="180" t="s">
        <v>30</v>
      </c>
      <c r="U2" s="180"/>
      <c r="V2" s="182" t="s">
        <v>30</v>
      </c>
      <c r="W2" s="182"/>
      <c r="X2" s="182"/>
      <c r="Y2" s="193"/>
      <c r="Z2" s="190" t="s">
        <v>31</v>
      </c>
      <c r="AA2" s="193"/>
      <c r="AB2" s="190" t="s">
        <v>31</v>
      </c>
      <c r="AC2" s="182"/>
      <c r="AD2" s="182" t="s">
        <v>31</v>
      </c>
      <c r="AE2" s="182"/>
      <c r="AF2" s="182"/>
      <c r="AG2" s="182"/>
      <c r="AH2" s="182" t="s">
        <v>31</v>
      </c>
      <c r="AI2" s="182"/>
      <c r="AJ2" s="182" t="s">
        <v>31</v>
      </c>
      <c r="AK2" s="182"/>
      <c r="AL2" s="182" t="s">
        <v>31</v>
      </c>
      <c r="AM2" s="182"/>
      <c r="AN2" s="182" t="s">
        <v>31</v>
      </c>
      <c r="AO2" s="182"/>
      <c r="AP2" s="182" t="s">
        <v>32</v>
      </c>
      <c r="AQ2" s="182"/>
      <c r="AR2" s="182" t="s">
        <v>32</v>
      </c>
      <c r="AS2" s="182"/>
      <c r="AT2" s="182" t="s">
        <v>32</v>
      </c>
      <c r="AU2" s="182"/>
      <c r="AV2" s="182" t="s">
        <v>32</v>
      </c>
      <c r="AW2" s="182"/>
      <c r="AX2" s="182" t="s">
        <v>32</v>
      </c>
      <c r="AY2" s="182"/>
      <c r="AZ2" s="182"/>
      <c r="BA2" s="182"/>
      <c r="BB2" s="182"/>
      <c r="BC2" s="182"/>
      <c r="BD2" s="182" t="s">
        <v>32</v>
      </c>
      <c r="BE2" s="182"/>
      <c r="BF2" s="182" t="s">
        <v>32</v>
      </c>
      <c r="BG2" s="182"/>
      <c r="BH2" s="186" t="s">
        <v>33</v>
      </c>
      <c r="BI2" s="186"/>
      <c r="BJ2" s="185" t="s">
        <v>33</v>
      </c>
      <c r="BK2" s="185"/>
      <c r="BL2" s="182" t="s">
        <v>34</v>
      </c>
      <c r="BM2" s="182"/>
      <c r="BN2" s="182" t="s">
        <v>34</v>
      </c>
      <c r="BO2" s="182"/>
      <c r="BP2" s="182" t="s">
        <v>34</v>
      </c>
      <c r="BQ2" s="182"/>
      <c r="BR2" s="182"/>
      <c r="BS2" s="182"/>
      <c r="BT2" s="180" t="s">
        <v>34</v>
      </c>
      <c r="BU2" s="180"/>
      <c r="BV2" s="180"/>
      <c r="BW2" s="180"/>
    </row>
    <row r="3" spans="1:75" ht="15.75" x14ac:dyDescent="0.45">
      <c r="A3" s="3" t="s">
        <v>35</v>
      </c>
      <c r="B3" s="4" t="s">
        <v>36</v>
      </c>
      <c r="C3" s="5"/>
      <c r="D3" s="4" t="s">
        <v>37</v>
      </c>
      <c r="E3" s="5"/>
      <c r="F3" s="4" t="s">
        <v>38</v>
      </c>
      <c r="G3" s="5"/>
      <c r="H3" s="4" t="s">
        <v>39</v>
      </c>
      <c r="I3" s="6"/>
      <c r="J3" s="6" t="s">
        <v>40</v>
      </c>
      <c r="K3" s="5"/>
      <c r="L3" s="4" t="s">
        <v>41</v>
      </c>
      <c r="M3" s="5"/>
      <c r="N3" s="7" t="s">
        <v>42</v>
      </c>
      <c r="O3" s="8"/>
      <c r="P3" s="9" t="s">
        <v>43</v>
      </c>
      <c r="Q3" s="10"/>
      <c r="R3" s="7" t="s">
        <v>44</v>
      </c>
      <c r="S3" s="8"/>
      <c r="T3" s="11" t="s">
        <v>45</v>
      </c>
      <c r="U3" s="10"/>
      <c r="V3" s="7" t="s">
        <v>46</v>
      </c>
      <c r="W3" s="8"/>
      <c r="X3" s="7" t="s">
        <v>47</v>
      </c>
      <c r="Y3" s="8"/>
      <c r="Z3" s="12" t="s">
        <v>48</v>
      </c>
      <c r="AA3" s="13"/>
      <c r="AB3" s="14" t="s">
        <v>49</v>
      </c>
      <c r="AC3" s="15"/>
      <c r="AD3" s="12" t="s">
        <v>50</v>
      </c>
      <c r="AE3" s="13"/>
      <c r="AF3" s="12" t="s">
        <v>51</v>
      </c>
      <c r="AG3" s="13"/>
      <c r="AH3" s="12" t="s">
        <v>52</v>
      </c>
      <c r="AI3" s="13"/>
      <c r="AJ3" s="12" t="s">
        <v>53</v>
      </c>
      <c r="AK3" s="13"/>
      <c r="AL3" s="12" t="s">
        <v>54</v>
      </c>
      <c r="AM3" s="13"/>
      <c r="AN3" s="12" t="s">
        <v>55</v>
      </c>
      <c r="AO3" s="13"/>
      <c r="AP3" s="16" t="s">
        <v>56</v>
      </c>
      <c r="AQ3" s="17"/>
      <c r="AR3" s="16" t="s">
        <v>57</v>
      </c>
      <c r="AS3" s="17"/>
      <c r="AT3" s="16" t="s">
        <v>58</v>
      </c>
      <c r="AU3" s="17"/>
      <c r="AV3" s="16" t="s">
        <v>59</v>
      </c>
      <c r="AW3" s="17"/>
      <c r="AX3" s="18" t="s">
        <v>60</v>
      </c>
      <c r="AY3" s="19"/>
      <c r="AZ3" s="18" t="s">
        <v>61</v>
      </c>
      <c r="BA3" s="19"/>
      <c r="BB3" s="20" t="s">
        <v>62</v>
      </c>
      <c r="BC3" s="21"/>
      <c r="BD3" s="22" t="s">
        <v>63</v>
      </c>
      <c r="BE3" s="23"/>
      <c r="BF3" s="16" t="s">
        <v>64</v>
      </c>
      <c r="BG3" s="17"/>
      <c r="BH3" s="24" t="s">
        <v>65</v>
      </c>
      <c r="BI3" s="25"/>
      <c r="BJ3" s="26" t="s">
        <v>66</v>
      </c>
      <c r="BK3" s="27"/>
      <c r="BL3" s="28" t="s">
        <v>67</v>
      </c>
      <c r="BM3" s="29"/>
      <c r="BN3" s="28" t="s">
        <v>68</v>
      </c>
      <c r="BO3" s="29"/>
      <c r="BP3" s="28" t="s">
        <v>69</v>
      </c>
      <c r="BQ3" s="29"/>
      <c r="BR3" s="28" t="s">
        <v>70</v>
      </c>
      <c r="BS3" s="29"/>
      <c r="BT3" s="28" t="s">
        <v>71</v>
      </c>
      <c r="BU3" s="29"/>
      <c r="BV3" s="28" t="s">
        <v>72</v>
      </c>
      <c r="BW3" s="29"/>
    </row>
    <row r="4" spans="1:75" s="36" customFormat="1" ht="15.75" x14ac:dyDescent="0.45">
      <c r="A4" s="1" t="s">
        <v>73</v>
      </c>
      <c r="B4" s="30" t="s">
        <v>74</v>
      </c>
      <c r="C4" s="31"/>
      <c r="D4" s="30" t="s">
        <v>74</v>
      </c>
      <c r="E4" s="31"/>
      <c r="F4" s="30" t="s">
        <v>74</v>
      </c>
      <c r="G4" s="31"/>
      <c r="H4" s="30" t="s">
        <v>74</v>
      </c>
      <c r="I4" s="31"/>
      <c r="J4" s="32" t="s">
        <v>74</v>
      </c>
      <c r="K4" s="31"/>
      <c r="L4" s="30" t="s">
        <v>74</v>
      </c>
      <c r="M4" s="31"/>
      <c r="N4" s="30" t="s">
        <v>74</v>
      </c>
      <c r="O4" s="31"/>
      <c r="P4" s="33" t="s">
        <v>74</v>
      </c>
      <c r="Q4" s="34"/>
      <c r="R4" s="30" t="s">
        <v>74</v>
      </c>
      <c r="S4" s="31"/>
      <c r="T4" s="35" t="s">
        <v>74</v>
      </c>
      <c r="U4" s="34"/>
      <c r="V4" s="30" t="s">
        <v>75</v>
      </c>
      <c r="W4" s="31"/>
      <c r="X4" s="30" t="s">
        <v>75</v>
      </c>
      <c r="Y4" s="31"/>
      <c r="Z4" s="30" t="s">
        <v>75</v>
      </c>
      <c r="AA4" s="31"/>
      <c r="AB4" s="32" t="s">
        <v>75</v>
      </c>
      <c r="AC4" s="31"/>
      <c r="AD4" s="30" t="s">
        <v>75</v>
      </c>
      <c r="AE4" s="31"/>
      <c r="AF4" s="30" t="s">
        <v>76</v>
      </c>
      <c r="AG4" s="31"/>
      <c r="AH4" s="30" t="s">
        <v>75</v>
      </c>
      <c r="AI4" s="31"/>
      <c r="AJ4" s="30" t="s">
        <v>75</v>
      </c>
      <c r="AK4" s="31"/>
      <c r="AL4" s="30" t="s">
        <v>75</v>
      </c>
      <c r="AM4" s="31"/>
      <c r="AN4" s="30" t="s">
        <v>75</v>
      </c>
      <c r="AO4" s="31"/>
      <c r="AP4" s="30" t="s">
        <v>75</v>
      </c>
      <c r="AQ4" s="31"/>
      <c r="AR4" s="30" t="s">
        <v>75</v>
      </c>
      <c r="AS4" s="31"/>
      <c r="AT4" s="30" t="s">
        <v>74</v>
      </c>
      <c r="AU4" s="31"/>
      <c r="AV4" s="30" t="s">
        <v>75</v>
      </c>
      <c r="AW4" s="31"/>
      <c r="AX4" s="30" t="s">
        <v>74</v>
      </c>
      <c r="AY4" s="31"/>
      <c r="AZ4" s="30" t="s">
        <v>74</v>
      </c>
      <c r="BA4" s="31"/>
      <c r="BB4" s="30" t="s">
        <v>74</v>
      </c>
      <c r="BC4" s="31"/>
      <c r="BD4" s="30" t="s">
        <v>74</v>
      </c>
      <c r="BE4" s="31"/>
      <c r="BF4" s="30" t="s">
        <v>74</v>
      </c>
      <c r="BG4" s="31"/>
      <c r="BH4" s="30" t="s">
        <v>74</v>
      </c>
      <c r="BI4" s="31"/>
      <c r="BJ4" s="32" t="s">
        <v>74</v>
      </c>
      <c r="BK4" s="31"/>
      <c r="BL4" s="30" t="s">
        <v>77</v>
      </c>
      <c r="BM4" s="31"/>
      <c r="BN4" s="30" t="s">
        <v>78</v>
      </c>
      <c r="BO4" s="31"/>
      <c r="BP4" s="30" t="s">
        <v>78</v>
      </c>
      <c r="BQ4" s="31"/>
      <c r="BR4" s="30" t="s">
        <v>78</v>
      </c>
      <c r="BS4" s="31"/>
      <c r="BT4" s="30" t="s">
        <v>78</v>
      </c>
      <c r="BU4" s="31"/>
      <c r="BV4" s="35" t="s">
        <v>78</v>
      </c>
      <c r="BW4" s="34"/>
    </row>
    <row r="5" spans="1:75" s="46" customFormat="1" ht="18" customHeight="1" x14ac:dyDescent="0.45">
      <c r="A5" s="37" t="s">
        <v>79</v>
      </c>
      <c r="B5" s="38" t="s">
        <v>80</v>
      </c>
      <c r="C5" s="39"/>
      <c r="D5" s="38" t="s">
        <v>80</v>
      </c>
      <c r="E5" s="39"/>
      <c r="F5" s="38" t="s">
        <v>81</v>
      </c>
      <c r="G5" s="39"/>
      <c r="H5" s="38" t="s">
        <v>81</v>
      </c>
      <c r="I5" s="39"/>
      <c r="J5" s="40" t="s">
        <v>82</v>
      </c>
      <c r="K5" s="39"/>
      <c r="L5" s="38" t="s">
        <v>80</v>
      </c>
      <c r="M5" s="39"/>
      <c r="N5" s="38" t="s">
        <v>83</v>
      </c>
      <c r="O5" s="39"/>
      <c r="P5" s="41" t="s">
        <v>83</v>
      </c>
      <c r="Q5" s="42"/>
      <c r="R5" s="38" t="s">
        <v>83</v>
      </c>
      <c r="S5" s="39"/>
      <c r="T5" s="43" t="s">
        <v>83</v>
      </c>
      <c r="U5" s="42"/>
      <c r="V5" s="38" t="s">
        <v>84</v>
      </c>
      <c r="W5" s="39"/>
      <c r="X5" s="38" t="s">
        <v>84</v>
      </c>
      <c r="Y5" s="39"/>
      <c r="Z5" s="38" t="s">
        <v>85</v>
      </c>
      <c r="AA5" s="39"/>
      <c r="AB5" s="40" t="s">
        <v>85</v>
      </c>
      <c r="AC5" s="39"/>
      <c r="AD5" s="38" t="s">
        <v>85</v>
      </c>
      <c r="AE5" s="39"/>
      <c r="AF5" s="38" t="s">
        <v>85</v>
      </c>
      <c r="AG5" s="39"/>
      <c r="AH5" s="38" t="s">
        <v>85</v>
      </c>
      <c r="AI5" s="39"/>
      <c r="AJ5" s="38" t="s">
        <v>85</v>
      </c>
      <c r="AK5" s="39"/>
      <c r="AL5" s="38" t="s">
        <v>85</v>
      </c>
      <c r="AM5" s="39"/>
      <c r="AN5" s="38" t="s">
        <v>85</v>
      </c>
      <c r="AO5" s="39"/>
      <c r="AP5" s="38" t="s">
        <v>86</v>
      </c>
      <c r="AQ5" s="39"/>
      <c r="AR5" s="44" t="s">
        <v>87</v>
      </c>
      <c r="AS5" s="45"/>
      <c r="AT5" s="44" t="s">
        <v>87</v>
      </c>
      <c r="AU5" s="45"/>
      <c r="AV5" s="38" t="s">
        <v>87</v>
      </c>
      <c r="AW5" s="39"/>
      <c r="AX5" s="38" t="s">
        <v>88</v>
      </c>
      <c r="AY5" s="39"/>
      <c r="AZ5" s="38" t="s">
        <v>88</v>
      </c>
      <c r="BA5" s="39"/>
      <c r="BB5" s="38" t="s">
        <v>88</v>
      </c>
      <c r="BC5" s="39"/>
      <c r="BD5" s="38" t="s">
        <v>84</v>
      </c>
      <c r="BE5" s="39"/>
      <c r="BF5" s="38" t="s">
        <v>84</v>
      </c>
      <c r="BG5" s="39"/>
      <c r="BH5" s="38" t="s">
        <v>89</v>
      </c>
      <c r="BI5" s="39"/>
      <c r="BJ5" s="38" t="s">
        <v>89</v>
      </c>
      <c r="BK5" s="39"/>
      <c r="BL5" s="38" t="s">
        <v>90</v>
      </c>
      <c r="BM5" s="39"/>
      <c r="BN5" s="38" t="s">
        <v>91</v>
      </c>
      <c r="BO5" s="39"/>
      <c r="BP5" s="38" t="s">
        <v>91</v>
      </c>
      <c r="BQ5" s="39"/>
      <c r="BR5" s="38" t="s">
        <v>92</v>
      </c>
      <c r="BS5" s="39"/>
      <c r="BT5" s="38" t="s">
        <v>93</v>
      </c>
      <c r="BU5" s="39"/>
      <c r="BV5" s="43" t="s">
        <v>93</v>
      </c>
      <c r="BW5" s="42"/>
    </row>
    <row r="6" spans="1:75" ht="18.75" customHeight="1" x14ac:dyDescent="0.45">
      <c r="A6" s="1" t="s">
        <v>94</v>
      </c>
      <c r="B6" s="47" t="s">
        <v>95</v>
      </c>
      <c r="C6" s="48" t="s">
        <v>96</v>
      </c>
      <c r="D6" s="47" t="s">
        <v>95</v>
      </c>
      <c r="E6" s="48" t="s">
        <v>96</v>
      </c>
      <c r="F6" s="47" t="s">
        <v>95</v>
      </c>
      <c r="G6" s="49" t="s">
        <v>96</v>
      </c>
      <c r="H6" s="47" t="s">
        <v>95</v>
      </c>
      <c r="I6" s="49" t="s">
        <v>96</v>
      </c>
      <c r="J6" s="50" t="s">
        <v>95</v>
      </c>
      <c r="K6" s="49" t="s">
        <v>96</v>
      </c>
      <c r="L6" s="47" t="s">
        <v>95</v>
      </c>
      <c r="M6" s="49" t="s">
        <v>96</v>
      </c>
      <c r="N6" s="47" t="s">
        <v>97</v>
      </c>
      <c r="O6" s="49" t="s">
        <v>96</v>
      </c>
      <c r="P6" s="47" t="s">
        <v>97</v>
      </c>
      <c r="Q6" s="51" t="s">
        <v>96</v>
      </c>
      <c r="R6" s="47" t="s">
        <v>97</v>
      </c>
      <c r="S6" s="49" t="s">
        <v>96</v>
      </c>
      <c r="T6" s="52" t="s">
        <v>97</v>
      </c>
      <c r="U6" s="51" t="s">
        <v>96</v>
      </c>
      <c r="V6" s="47"/>
      <c r="W6" s="49" t="s">
        <v>96</v>
      </c>
      <c r="X6" s="47">
        <v>2024</v>
      </c>
      <c r="Y6" s="49" t="s">
        <v>96</v>
      </c>
      <c r="Z6" s="47">
        <v>2024</v>
      </c>
      <c r="AA6" s="49" t="s">
        <v>96</v>
      </c>
      <c r="AB6" s="50">
        <v>2024</v>
      </c>
      <c r="AC6" s="49" t="s">
        <v>96</v>
      </c>
      <c r="AD6" s="47">
        <v>2024</v>
      </c>
      <c r="AE6" s="49" t="s">
        <v>96</v>
      </c>
      <c r="AF6" s="47">
        <v>2024</v>
      </c>
      <c r="AG6" s="49" t="s">
        <v>96</v>
      </c>
      <c r="AH6" s="47">
        <v>2024</v>
      </c>
      <c r="AI6" s="49" t="s">
        <v>96</v>
      </c>
      <c r="AJ6" s="47">
        <v>2024</v>
      </c>
      <c r="AK6" s="49" t="s">
        <v>96</v>
      </c>
      <c r="AL6" s="47">
        <v>2024</v>
      </c>
      <c r="AM6" s="49" t="s">
        <v>96</v>
      </c>
      <c r="AN6" s="47">
        <v>2024</v>
      </c>
      <c r="AO6" s="49" t="s">
        <v>96</v>
      </c>
      <c r="AP6" s="53" t="s">
        <v>98</v>
      </c>
      <c r="AQ6" s="49" t="s">
        <v>96</v>
      </c>
      <c r="AR6" s="47" t="s">
        <v>98</v>
      </c>
      <c r="AS6" s="49" t="s">
        <v>96</v>
      </c>
      <c r="AT6" s="47">
        <v>2024</v>
      </c>
      <c r="AU6" s="49" t="s">
        <v>96</v>
      </c>
      <c r="AV6" s="47" t="s">
        <v>99</v>
      </c>
      <c r="AW6" s="49" t="s">
        <v>96</v>
      </c>
      <c r="AX6" s="47">
        <v>2024</v>
      </c>
      <c r="AY6" s="49" t="s">
        <v>96</v>
      </c>
      <c r="AZ6" s="47">
        <v>2024</v>
      </c>
      <c r="BA6" s="49" t="s">
        <v>96</v>
      </c>
      <c r="BB6" s="47">
        <v>2024</v>
      </c>
      <c r="BC6" s="49" t="s">
        <v>96</v>
      </c>
      <c r="BD6" s="47">
        <v>2024</v>
      </c>
      <c r="BE6" s="49" t="s">
        <v>96</v>
      </c>
      <c r="BF6" s="47">
        <v>2024</v>
      </c>
      <c r="BG6" s="49" t="s">
        <v>96</v>
      </c>
      <c r="BH6" s="54" t="s">
        <v>95</v>
      </c>
      <c r="BI6" s="49" t="s">
        <v>96</v>
      </c>
      <c r="BJ6" s="54" t="s">
        <v>95</v>
      </c>
      <c r="BK6" s="49" t="s">
        <v>96</v>
      </c>
      <c r="BL6" s="47">
        <v>2024</v>
      </c>
      <c r="BM6" s="49" t="s">
        <v>96</v>
      </c>
      <c r="BN6" s="54" t="s">
        <v>95</v>
      </c>
      <c r="BO6" s="49" t="s">
        <v>96</v>
      </c>
      <c r="BP6" s="54" t="s">
        <v>95</v>
      </c>
      <c r="BQ6" s="49" t="s">
        <v>96</v>
      </c>
      <c r="BR6" s="54" t="s">
        <v>95</v>
      </c>
      <c r="BS6" s="49" t="s">
        <v>96</v>
      </c>
      <c r="BT6" s="54" t="s">
        <v>95</v>
      </c>
      <c r="BU6" s="49" t="s">
        <v>96</v>
      </c>
      <c r="BV6" s="55" t="s">
        <v>95</v>
      </c>
      <c r="BW6" s="51" t="s">
        <v>96</v>
      </c>
    </row>
    <row r="7" spans="1:75" x14ac:dyDescent="0.45">
      <c r="A7" s="56" t="s">
        <v>100</v>
      </c>
      <c r="B7" s="57"/>
      <c r="C7" s="58">
        <v>0.10482615464452515</v>
      </c>
      <c r="D7" s="57"/>
      <c r="E7" s="58">
        <v>0</v>
      </c>
      <c r="F7" s="59"/>
      <c r="G7" s="58">
        <v>0.25490196078431365</v>
      </c>
      <c r="H7" s="59"/>
      <c r="I7" s="58">
        <v>-0.16960784313725491</v>
      </c>
      <c r="J7" s="60"/>
      <c r="K7" s="58">
        <v>4.0053113129948206E-2</v>
      </c>
      <c r="L7" s="57"/>
      <c r="M7" s="58">
        <v>1.4634146341463426E-2</v>
      </c>
      <c r="N7" s="61"/>
      <c r="O7" s="58">
        <v>1.7064846416382253E-2</v>
      </c>
      <c r="P7" s="62"/>
      <c r="Q7" s="63">
        <v>8.1967213114754092E-2</v>
      </c>
      <c r="R7" s="2"/>
      <c r="S7" s="58">
        <v>0</v>
      </c>
      <c r="T7" s="64"/>
      <c r="U7" s="63">
        <v>0</v>
      </c>
      <c r="V7" s="57"/>
      <c r="W7" s="58">
        <v>0.4181818181818181</v>
      </c>
      <c r="X7" s="57"/>
      <c r="Y7" s="58">
        <v>0.56249999999999922</v>
      </c>
      <c r="Z7" s="65"/>
      <c r="AA7" s="58">
        <v>0.98375179643249244</v>
      </c>
      <c r="AB7" s="66"/>
      <c r="AC7" s="58">
        <v>0.69703178454668413</v>
      </c>
      <c r="AD7" s="59"/>
      <c r="AE7" s="58">
        <v>0.80094786729857814</v>
      </c>
      <c r="AF7" s="59"/>
      <c r="AG7" s="58">
        <v>0.45621118012422368</v>
      </c>
      <c r="AH7" s="67"/>
      <c r="AI7" s="58">
        <v>0.41900194007329133</v>
      </c>
      <c r="AJ7" s="59"/>
      <c r="AK7" s="58">
        <v>0.65082370449009252</v>
      </c>
      <c r="AL7" s="59"/>
      <c r="AM7" s="58">
        <v>0.88471502590673601</v>
      </c>
      <c r="AN7" s="59"/>
      <c r="AO7" s="58">
        <v>0.65330444203683646</v>
      </c>
      <c r="AP7" s="59">
        <v>86.9</v>
      </c>
      <c r="AQ7" s="58">
        <v>0.41441441441441484</v>
      </c>
      <c r="AR7" s="59">
        <v>83.5</v>
      </c>
      <c r="AS7" s="58">
        <v>0.66666666666666663</v>
      </c>
      <c r="AT7" s="57"/>
      <c r="AU7" s="58">
        <v>0.30240502148657772</v>
      </c>
      <c r="AV7" s="59"/>
      <c r="AW7" s="58">
        <v>0.24873096446700513</v>
      </c>
      <c r="AX7" s="57"/>
      <c r="AY7" s="58">
        <v>0.11566389727846534</v>
      </c>
      <c r="AZ7" s="59"/>
      <c r="BA7" s="58">
        <v>0.15503875968992242</v>
      </c>
      <c r="BB7" s="59"/>
      <c r="BC7" s="58">
        <v>0.1045673076923077</v>
      </c>
      <c r="BD7" s="59"/>
      <c r="BE7" s="58">
        <v>0.13578918828131176</v>
      </c>
      <c r="BF7" s="59"/>
      <c r="BG7" s="58">
        <v>0.30336587632265222</v>
      </c>
      <c r="BH7" s="68"/>
      <c r="BI7" s="58">
        <v>0.11504424778761062</v>
      </c>
      <c r="BJ7" s="68"/>
      <c r="BK7" s="58">
        <v>0.11188811188811189</v>
      </c>
      <c r="BL7" s="68"/>
      <c r="BM7" s="58">
        <v>0.18056224522162048</v>
      </c>
      <c r="BN7" s="59"/>
      <c r="BO7" s="58">
        <v>0.14772727272727285</v>
      </c>
      <c r="BP7" s="59"/>
      <c r="BQ7" s="58">
        <v>9.6556380823767718E-2</v>
      </c>
      <c r="BR7" s="2"/>
      <c r="BS7" s="58">
        <v>6.502732240437159E-2</v>
      </c>
      <c r="BT7" s="2">
        <v>35</v>
      </c>
      <c r="BU7" s="58">
        <v>6.8441064638783272E-2</v>
      </c>
      <c r="BV7" s="64">
        <v>33</v>
      </c>
      <c r="BW7" s="63">
        <v>0.21249999999999999</v>
      </c>
    </row>
    <row r="8" spans="1:75" x14ac:dyDescent="0.45">
      <c r="A8" s="56" t="s">
        <v>101</v>
      </c>
      <c r="B8" s="57"/>
      <c r="C8" s="58">
        <v>8.8226904531973335E-2</v>
      </c>
      <c r="D8" s="57"/>
      <c r="E8" s="58">
        <v>0.14473684210526316</v>
      </c>
      <c r="F8" s="59"/>
      <c r="G8" s="58">
        <v>0.24509803921568621</v>
      </c>
      <c r="H8" s="59"/>
      <c r="I8" s="58">
        <v>-0.22352941176470587</v>
      </c>
      <c r="J8" s="60"/>
      <c r="K8" s="58">
        <v>0.28692023216429741</v>
      </c>
      <c r="L8" s="57"/>
      <c r="M8" s="58">
        <v>0.18536585365853661</v>
      </c>
      <c r="N8" s="61"/>
      <c r="O8" s="58">
        <v>2.7303754266211604E-2</v>
      </c>
      <c r="P8" s="62"/>
      <c r="Q8" s="63">
        <v>0.13114754098360656</v>
      </c>
      <c r="R8" s="2"/>
      <c r="S8" s="58">
        <v>4.2535446205170975E-2</v>
      </c>
      <c r="T8" s="64"/>
      <c r="U8" s="63">
        <v>0.38931297709923662</v>
      </c>
      <c r="V8" s="57"/>
      <c r="W8" s="58">
        <v>0.32272727272727253</v>
      </c>
      <c r="X8" s="57"/>
      <c r="Y8" s="58">
        <v>0.67187499999999944</v>
      </c>
      <c r="Z8" s="65"/>
      <c r="AA8" s="58">
        <v>0.72482881055034254</v>
      </c>
      <c r="AB8" s="66"/>
      <c r="AC8" s="58">
        <v>0.69964176619786878</v>
      </c>
      <c r="AD8" s="59"/>
      <c r="AE8" s="58">
        <v>0.7962085308056871</v>
      </c>
      <c r="AF8" s="59"/>
      <c r="AG8" s="58">
        <v>0.25962732919254655</v>
      </c>
      <c r="AH8" s="59"/>
      <c r="AI8" s="58">
        <v>0.67633110584177603</v>
      </c>
      <c r="AJ8" s="59"/>
      <c r="AK8" s="58">
        <v>0.29932037270495576</v>
      </c>
      <c r="AL8" s="59"/>
      <c r="AM8" s="58">
        <v>1</v>
      </c>
      <c r="AN8" s="59"/>
      <c r="AO8" s="58">
        <v>0.65980498374864571</v>
      </c>
      <c r="AP8" s="59">
        <v>86</v>
      </c>
      <c r="AQ8" s="58">
        <v>0.33333333333333331</v>
      </c>
      <c r="AR8" s="59">
        <v>83.5</v>
      </c>
      <c r="AS8" s="58">
        <v>0.66666666666666663</v>
      </c>
      <c r="AT8" s="57"/>
      <c r="AU8" s="58">
        <v>0.13690102894396444</v>
      </c>
      <c r="AV8" s="59"/>
      <c r="AW8" s="58">
        <v>0</v>
      </c>
      <c r="AX8" s="57"/>
      <c r="AY8" s="58">
        <v>0.13563734721012893</v>
      </c>
      <c r="AZ8" s="59"/>
      <c r="BA8" s="58">
        <v>8.5271317829457363E-2</v>
      </c>
      <c r="BB8" s="59"/>
      <c r="BC8" s="58">
        <v>9.4951923076923045E-2</v>
      </c>
      <c r="BD8" s="59"/>
      <c r="BE8" s="58">
        <v>0.30424099584668357</v>
      </c>
      <c r="BF8" s="59"/>
      <c r="BG8" s="58">
        <v>0.64771112874816672</v>
      </c>
      <c r="BH8" s="68"/>
      <c r="BI8" s="58">
        <v>0.26106194690265488</v>
      </c>
      <c r="BJ8" s="68"/>
      <c r="BK8" s="58">
        <v>0.32167832167832167</v>
      </c>
      <c r="BL8" s="68"/>
      <c r="BM8" s="58">
        <v>0.8462930112895457</v>
      </c>
      <c r="BN8" s="59"/>
      <c r="BO8" s="58">
        <v>0.1392045454545455</v>
      </c>
      <c r="BP8" s="59"/>
      <c r="BQ8" s="58">
        <v>0.38555030384875094</v>
      </c>
      <c r="BR8" s="2"/>
      <c r="BS8" s="58">
        <v>0.2081967213114754</v>
      </c>
      <c r="BT8" s="2">
        <v>25</v>
      </c>
      <c r="BU8" s="58">
        <v>3.0418250950570342E-2</v>
      </c>
      <c r="BV8" s="64">
        <v>23</v>
      </c>
      <c r="BW8" s="63">
        <v>8.7499999999999994E-2</v>
      </c>
    </row>
    <row r="9" spans="1:75" x14ac:dyDescent="0.45">
      <c r="A9" s="56" t="s">
        <v>102</v>
      </c>
      <c r="B9" s="57"/>
      <c r="C9" s="58">
        <v>0.90491598819081331</v>
      </c>
      <c r="D9" s="57"/>
      <c r="E9" s="58">
        <v>0.90789473684210531</v>
      </c>
      <c r="F9" s="59"/>
      <c r="G9" s="58">
        <v>0.10784313725490191</v>
      </c>
      <c r="H9" s="59"/>
      <c r="I9" s="58">
        <v>0.4892156862745099</v>
      </c>
      <c r="J9" s="60"/>
      <c r="K9" s="58">
        <v>0.46800591346465237</v>
      </c>
      <c r="L9" s="57"/>
      <c r="M9" s="58">
        <v>1</v>
      </c>
      <c r="N9" s="61"/>
      <c r="O9" s="58">
        <v>4.0955631399317405E-2</v>
      </c>
      <c r="P9" s="62"/>
      <c r="Q9" s="63">
        <v>0.19672131147540983</v>
      </c>
      <c r="R9" s="2"/>
      <c r="S9" s="58">
        <v>0.10925771476230192</v>
      </c>
      <c r="T9" s="64"/>
      <c r="U9" s="63">
        <v>1</v>
      </c>
      <c r="V9" s="57"/>
      <c r="W9" s="58">
        <v>5.0000000000000051E-2</v>
      </c>
      <c r="X9" s="57"/>
      <c r="Y9" s="58">
        <v>0</v>
      </c>
      <c r="Z9" s="65"/>
      <c r="AA9" s="58">
        <v>0.23418458800620232</v>
      </c>
      <c r="AB9" s="66"/>
      <c r="AC9" s="58">
        <v>0.46413050263173833</v>
      </c>
      <c r="AD9" s="59"/>
      <c r="AE9" s="58">
        <v>0.32227488151658784</v>
      </c>
      <c r="AF9" s="59"/>
      <c r="AG9" s="58">
        <v>1</v>
      </c>
      <c r="AH9" s="67"/>
      <c r="AI9" s="58">
        <v>0.55468376074621506</v>
      </c>
      <c r="AJ9" s="59"/>
      <c r="AK9" s="58">
        <v>0.18418376847013279</v>
      </c>
      <c r="AL9" s="59"/>
      <c r="AM9" s="58">
        <v>0.11592166505664232</v>
      </c>
      <c r="AN9" s="59"/>
      <c r="AO9" s="58">
        <v>0.47826725673466935</v>
      </c>
      <c r="AP9" s="59">
        <v>83.5</v>
      </c>
      <c r="AQ9" s="58">
        <v>0.10810810810810828</v>
      </c>
      <c r="AR9" s="59">
        <v>78.2</v>
      </c>
      <c r="AS9" s="58">
        <v>0.22500000000000023</v>
      </c>
      <c r="AT9" s="57"/>
      <c r="AU9" s="58">
        <v>0.73011721582184785</v>
      </c>
      <c r="AV9" s="59"/>
      <c r="AW9" s="58">
        <v>0.91080493110949978</v>
      </c>
      <c r="AX9" s="57"/>
      <c r="AY9" s="58">
        <v>0.93760845125947201</v>
      </c>
      <c r="AZ9" s="59"/>
      <c r="BA9" s="58">
        <v>0.85694150810429892</v>
      </c>
      <c r="BB9" s="59"/>
      <c r="BC9" s="58">
        <v>0.81009615384615374</v>
      </c>
      <c r="BD9" s="59"/>
      <c r="BE9" s="58">
        <v>0.43428036617975574</v>
      </c>
      <c r="BF9" s="59"/>
      <c r="BG9" s="58">
        <v>0.87378193610728461</v>
      </c>
      <c r="BH9" s="68"/>
      <c r="BI9" s="58">
        <v>1</v>
      </c>
      <c r="BJ9" s="68"/>
      <c r="BK9" s="58">
        <v>1</v>
      </c>
      <c r="BL9" s="68"/>
      <c r="BM9" s="58">
        <v>0.31192509662488399</v>
      </c>
      <c r="BN9" s="59"/>
      <c r="BO9" s="58">
        <v>0.45454545454545464</v>
      </c>
      <c r="BP9" s="59"/>
      <c r="BQ9" s="58">
        <v>0.50573936529372066</v>
      </c>
      <c r="BR9" s="2"/>
      <c r="BS9" s="58">
        <v>7.9234972677595633E-2</v>
      </c>
      <c r="BT9" s="2">
        <v>31</v>
      </c>
      <c r="BU9" s="58">
        <v>5.3231939163498096E-2</v>
      </c>
      <c r="BV9" s="64">
        <v>31</v>
      </c>
      <c r="BW9" s="63">
        <v>0.1875</v>
      </c>
    </row>
    <row r="10" spans="1:75" x14ac:dyDescent="0.45">
      <c r="A10" s="56" t="s">
        <v>103</v>
      </c>
      <c r="B10" s="57"/>
      <c r="C10" s="58">
        <v>0.62287722037868432</v>
      </c>
      <c r="D10" s="57"/>
      <c r="E10" s="58">
        <v>0.71052631578947378</v>
      </c>
      <c r="F10" s="59"/>
      <c r="G10" s="58">
        <v>0.12745098039215683</v>
      </c>
      <c r="H10" s="59"/>
      <c r="I10" s="58">
        <v>0.18333333333333326</v>
      </c>
      <c r="J10" s="60"/>
      <c r="K10" s="58">
        <v>0.16597752172848812</v>
      </c>
      <c r="L10" s="57"/>
      <c r="M10" s="58">
        <v>0.32195121951219502</v>
      </c>
      <c r="N10" s="61"/>
      <c r="O10" s="58">
        <v>3.0716723549488054E-2</v>
      </c>
      <c r="P10" s="62"/>
      <c r="Q10" s="63">
        <v>0.14754098360655737</v>
      </c>
      <c r="R10" s="2"/>
      <c r="S10" s="58">
        <v>5.4211843202668891E-2</v>
      </c>
      <c r="T10" s="64"/>
      <c r="U10" s="63">
        <v>0.49618320610687022</v>
      </c>
      <c r="V10" s="57"/>
      <c r="W10" s="58">
        <v>0.75454545454545485</v>
      </c>
      <c r="X10" s="57"/>
      <c r="Y10" s="58">
        <v>0.73437499999999956</v>
      </c>
      <c r="Z10" s="65"/>
      <c r="AA10" s="58">
        <v>0.44461785572614337</v>
      </c>
      <c r="AB10" s="66"/>
      <c r="AC10" s="58">
        <v>0.37541230472041492</v>
      </c>
      <c r="AD10" s="59"/>
      <c r="AE10" s="58">
        <v>0.69668246445497617</v>
      </c>
      <c r="AF10" s="59"/>
      <c r="AG10" s="58">
        <v>0.7080745341614908</v>
      </c>
      <c r="AH10" s="59"/>
      <c r="AI10" s="58">
        <v>0.303780148978467</v>
      </c>
      <c r="AJ10" s="59"/>
      <c r="AK10" s="58">
        <v>0.41322282901350144</v>
      </c>
      <c r="AL10" s="59"/>
      <c r="AM10" s="58">
        <v>0.46447076239822294</v>
      </c>
      <c r="AN10" s="59"/>
      <c r="AO10" s="58">
        <v>0.4375827615264225</v>
      </c>
      <c r="AP10" s="59">
        <v>85</v>
      </c>
      <c r="AQ10" s="58">
        <v>0.24324324324324331</v>
      </c>
      <c r="AR10" s="59">
        <v>81.2</v>
      </c>
      <c r="AS10" s="58">
        <v>0.47500000000000026</v>
      </c>
      <c r="AT10" s="57"/>
      <c r="AU10" s="58">
        <v>0.63618334625769002</v>
      </c>
      <c r="AV10" s="59"/>
      <c r="AW10" s="58">
        <v>1</v>
      </c>
      <c r="AX10" s="57"/>
      <c r="AY10" s="58">
        <v>0.6511026362232768</v>
      </c>
      <c r="AZ10" s="59"/>
      <c r="BA10" s="58">
        <v>0.70754052149401003</v>
      </c>
      <c r="BB10" s="59"/>
      <c r="BC10" s="58">
        <v>0.69230769230769229</v>
      </c>
      <c r="BD10" s="59"/>
      <c r="BE10" s="58">
        <v>0.45239728104255367</v>
      </c>
      <c r="BF10" s="59"/>
      <c r="BG10" s="58">
        <v>0.46346661792994703</v>
      </c>
      <c r="BH10" s="68"/>
      <c r="BI10" s="58">
        <v>0.60619469026548678</v>
      </c>
      <c r="BJ10" s="68"/>
      <c r="BK10" s="58">
        <v>0.61538461538461542</v>
      </c>
      <c r="BL10" s="68"/>
      <c r="BM10" s="58">
        <v>0.68809839878763668</v>
      </c>
      <c r="BN10" s="59"/>
      <c r="BO10" s="58">
        <v>0.12215909090909106</v>
      </c>
      <c r="BP10" s="59"/>
      <c r="BQ10" s="58">
        <v>0.11883862255232962</v>
      </c>
      <c r="BR10" s="2"/>
      <c r="BS10" s="58">
        <v>0.17814207650273223</v>
      </c>
      <c r="BT10" s="2">
        <v>29</v>
      </c>
      <c r="BU10" s="58">
        <v>4.5627376425855515E-2</v>
      </c>
      <c r="BV10" s="64">
        <v>29</v>
      </c>
      <c r="BW10" s="63">
        <v>0.16250000000000001</v>
      </c>
    </row>
    <row r="11" spans="1:75" ht="15.75" customHeight="1" x14ac:dyDescent="0.45">
      <c r="A11" s="56" t="s">
        <v>104</v>
      </c>
      <c r="B11" s="57"/>
      <c r="C11" s="58">
        <v>0.33125248023443932</v>
      </c>
      <c r="D11" s="57"/>
      <c r="E11" s="58">
        <v>0.5</v>
      </c>
      <c r="F11" s="59"/>
      <c r="G11" s="58">
        <v>0.38235294117647062</v>
      </c>
      <c r="H11" s="59"/>
      <c r="I11" s="58">
        <v>-0.28529411764705881</v>
      </c>
      <c r="J11" s="60"/>
      <c r="K11" s="58">
        <v>0.16352379908510867</v>
      </c>
      <c r="L11" s="57"/>
      <c r="M11" s="58">
        <v>0.72195121951219521</v>
      </c>
      <c r="N11" s="61"/>
      <c r="O11" s="58">
        <v>0.20819112627986347</v>
      </c>
      <c r="P11" s="62"/>
      <c r="Q11" s="63">
        <v>1</v>
      </c>
      <c r="R11" s="2"/>
      <c r="S11" s="58">
        <v>0.21226021684737281</v>
      </c>
      <c r="T11" s="69" t="s">
        <v>105</v>
      </c>
      <c r="U11" s="70"/>
      <c r="V11" s="57"/>
      <c r="W11" s="58">
        <v>0.56818181818181823</v>
      </c>
      <c r="X11" s="57"/>
      <c r="Y11" s="58">
        <v>0.79687499999999967</v>
      </c>
      <c r="Z11" s="65"/>
      <c r="AA11" s="58">
        <v>0</v>
      </c>
      <c r="AB11" s="66"/>
      <c r="AC11" s="58">
        <v>0.32906868381209803</v>
      </c>
      <c r="AD11" s="59"/>
      <c r="AE11" s="58">
        <v>0.46919431279620877</v>
      </c>
      <c r="AF11" s="59"/>
      <c r="AG11" s="58">
        <v>0.52360248447204971</v>
      </c>
      <c r="AH11" s="67"/>
      <c r="AI11" s="58">
        <v>0.51755496874326334</v>
      </c>
      <c r="AJ11" s="59"/>
      <c r="AK11" s="58">
        <v>0</v>
      </c>
      <c r="AL11" s="59"/>
      <c r="AM11" s="58">
        <v>9.4991364421399809E-3</v>
      </c>
      <c r="AN11" s="59"/>
      <c r="AO11" s="58">
        <v>0.25460455037919821</v>
      </c>
      <c r="AP11" s="59">
        <v>87</v>
      </c>
      <c r="AQ11" s="58">
        <v>0.42342342342342337</v>
      </c>
      <c r="AR11" s="59">
        <v>84.7</v>
      </c>
      <c r="AS11" s="58">
        <v>0.76666666666666694</v>
      </c>
      <c r="AT11" s="57"/>
      <c r="AU11" s="58">
        <v>0.12318193796994113</v>
      </c>
      <c r="AV11" s="59"/>
      <c r="AW11" s="58">
        <v>0.41878172588832496</v>
      </c>
      <c r="AX11" s="57"/>
      <c r="AY11" s="58">
        <v>7.2108185010281003E-2</v>
      </c>
      <c r="AZ11" s="59"/>
      <c r="BA11" s="58">
        <v>8.7385482734319911E-2</v>
      </c>
      <c r="BB11" s="59"/>
      <c r="BC11" s="58">
        <v>0.16586538461538461</v>
      </c>
      <c r="BD11" s="59"/>
      <c r="BE11" s="58">
        <v>6.0874257613207743E-2</v>
      </c>
      <c r="BF11" s="59"/>
      <c r="BG11" s="58">
        <v>8.5951637487091961E-2</v>
      </c>
      <c r="BH11" s="68"/>
      <c r="BI11" s="58">
        <v>0.34513274336283184</v>
      </c>
      <c r="BJ11" s="68"/>
      <c r="BK11" s="58">
        <v>0.27972027972027974</v>
      </c>
      <c r="BL11" s="68"/>
      <c r="BM11" s="58">
        <v>0.28712568870927951</v>
      </c>
      <c r="BN11" s="59"/>
      <c r="BO11" s="58">
        <v>0.62215909090909094</v>
      </c>
      <c r="BP11" s="59"/>
      <c r="BQ11" s="58">
        <v>0.68332207967589476</v>
      </c>
      <c r="BR11" s="2"/>
      <c r="BS11" s="58">
        <v>8.0874316939890709E-2</v>
      </c>
      <c r="BT11" s="2">
        <v>95</v>
      </c>
      <c r="BU11" s="58">
        <v>0.29657794676806082</v>
      </c>
      <c r="BV11" s="64">
        <v>95</v>
      </c>
      <c r="BW11" s="63">
        <v>0.98750000000000004</v>
      </c>
    </row>
    <row r="12" spans="1:75" x14ac:dyDescent="0.45">
      <c r="A12" s="56" t="s">
        <v>106</v>
      </c>
      <c r="B12" s="57"/>
      <c r="C12" s="58">
        <v>0.27014762225485539</v>
      </c>
      <c r="D12" s="57"/>
      <c r="E12" s="58">
        <v>0.28947368421052633</v>
      </c>
      <c r="F12" s="59"/>
      <c r="G12" s="58">
        <v>0.18627450980392157</v>
      </c>
      <c r="H12" s="59"/>
      <c r="I12" s="58">
        <v>-0.36274509803921573</v>
      </c>
      <c r="J12" s="60"/>
      <c r="K12" s="58">
        <v>0.56072867044180796</v>
      </c>
      <c r="L12" s="57"/>
      <c r="M12" s="58">
        <v>0.31219512195121957</v>
      </c>
      <c r="N12" s="61"/>
      <c r="O12" s="58">
        <v>0.10921501706484642</v>
      </c>
      <c r="P12" s="62"/>
      <c r="Q12" s="63">
        <v>0.52459016393442626</v>
      </c>
      <c r="R12" s="2"/>
      <c r="S12" s="58">
        <v>6.8807339449541288E-2</v>
      </c>
      <c r="T12" s="64"/>
      <c r="U12" s="63">
        <v>0.62977099236641221</v>
      </c>
      <c r="V12" s="57"/>
      <c r="W12" s="58">
        <v>1</v>
      </c>
      <c r="X12" s="57"/>
      <c r="Y12" s="58">
        <v>1</v>
      </c>
      <c r="Z12" s="65"/>
      <c r="AA12" s="58">
        <v>7.1038616068446969E-2</v>
      </c>
      <c r="AB12" s="66"/>
      <c r="AC12" s="58">
        <v>0.59159503271831182</v>
      </c>
      <c r="AD12" s="59"/>
      <c r="AE12" s="58">
        <v>0.10900473933649295</v>
      </c>
      <c r="AF12" s="59"/>
      <c r="AG12" s="58">
        <v>0.51149068322981373</v>
      </c>
      <c r="AH12" s="67"/>
      <c r="AI12" s="58">
        <v>0.21192606165121752</v>
      </c>
      <c r="AJ12" s="59"/>
      <c r="AK12" s="58">
        <v>0.81929169513885947</v>
      </c>
      <c r="AL12" s="59"/>
      <c r="AM12" s="58">
        <v>0.27084314649081342</v>
      </c>
      <c r="AN12" s="59"/>
      <c r="AO12" s="58">
        <v>0</v>
      </c>
      <c r="AP12" s="59">
        <v>93.4</v>
      </c>
      <c r="AQ12" s="58">
        <v>1</v>
      </c>
      <c r="AR12" s="59">
        <v>85</v>
      </c>
      <c r="AS12" s="58">
        <v>0.79166666666666663</v>
      </c>
      <c r="AT12" s="57"/>
      <c r="AU12" s="58">
        <v>0.20642044360058026</v>
      </c>
      <c r="AV12" s="59"/>
      <c r="AW12" s="58">
        <v>1.5591007976794675E-2</v>
      </c>
      <c r="AX12" s="57"/>
      <c r="AY12" s="58">
        <v>8.9710760638150561E-2</v>
      </c>
      <c r="AZ12" s="59"/>
      <c r="BA12" s="58">
        <v>0.10500352360817475</v>
      </c>
      <c r="BB12" s="59"/>
      <c r="BC12" s="58">
        <v>8.5336538461538408E-2</v>
      </c>
      <c r="BD12" s="59"/>
      <c r="BE12" s="58">
        <v>0</v>
      </c>
      <c r="BF12" s="59"/>
      <c r="BG12" s="58">
        <v>0</v>
      </c>
      <c r="BH12" s="68"/>
      <c r="BI12" s="58">
        <v>7.0796460176991149E-2</v>
      </c>
      <c r="BJ12" s="68"/>
      <c r="BK12" s="58">
        <v>9.7902097902097904E-2</v>
      </c>
      <c r="BL12" s="68"/>
      <c r="BM12" s="58">
        <v>0</v>
      </c>
      <c r="BN12" s="59"/>
      <c r="BO12" s="58">
        <v>0.33806818181818188</v>
      </c>
      <c r="BP12" s="59"/>
      <c r="BQ12" s="58">
        <v>0.89331532748143161</v>
      </c>
      <c r="BR12" s="2"/>
      <c r="BS12" s="58">
        <v>6.2295081967213117E-2</v>
      </c>
      <c r="BT12" s="2">
        <v>96</v>
      </c>
      <c r="BU12" s="58">
        <v>0.30038022813688214</v>
      </c>
      <c r="BV12" s="64">
        <v>96</v>
      </c>
      <c r="BW12" s="63">
        <v>1</v>
      </c>
    </row>
    <row r="13" spans="1:75" x14ac:dyDescent="0.45">
      <c r="A13" s="56" t="s">
        <v>107</v>
      </c>
      <c r="B13" s="57"/>
      <c r="C13" s="58">
        <v>0.20372155089332045</v>
      </c>
      <c r="D13" s="57"/>
      <c r="E13" s="58">
        <v>0.61842105263157898</v>
      </c>
      <c r="F13" s="59"/>
      <c r="G13" s="58">
        <v>0.26470588235294112</v>
      </c>
      <c r="H13" s="59"/>
      <c r="I13" s="58">
        <v>-0.26274509803921564</v>
      </c>
      <c r="J13" s="60"/>
      <c r="K13" s="58">
        <v>0.26780027692614206</v>
      </c>
      <c r="L13" s="57"/>
      <c r="M13" s="58">
        <v>0</v>
      </c>
      <c r="N13" s="61"/>
      <c r="O13" s="58">
        <v>4.0955631399317405E-2</v>
      </c>
      <c r="P13" s="62"/>
      <c r="Q13" s="63">
        <v>0.19672131147540983</v>
      </c>
      <c r="R13" s="2"/>
      <c r="S13" s="58">
        <v>6.713928273561301E-2</v>
      </c>
      <c r="T13" s="64"/>
      <c r="U13" s="63">
        <v>0.6145038167938931</v>
      </c>
      <c r="V13" s="57"/>
      <c r="W13" s="58">
        <v>0.88181818181818172</v>
      </c>
      <c r="X13" s="57"/>
      <c r="Y13" s="58">
        <v>0.78124999999999967</v>
      </c>
      <c r="Z13" s="65"/>
      <c r="AA13" s="58">
        <v>0.45474481956109419</v>
      </c>
      <c r="AB13" s="66"/>
      <c r="AC13" s="58">
        <v>0.73031915114746659</v>
      </c>
      <c r="AD13" s="59"/>
      <c r="AE13" s="58">
        <v>0.69194312796208512</v>
      </c>
      <c r="AF13" s="59"/>
      <c r="AG13" s="58">
        <v>0.70745341614906854</v>
      </c>
      <c r="AH13" s="59"/>
      <c r="AI13" s="58">
        <v>0.28422073722785041</v>
      </c>
      <c r="AJ13" s="59"/>
      <c r="AK13" s="58">
        <v>0.75801113438673973</v>
      </c>
      <c r="AL13" s="59"/>
      <c r="AM13" s="58">
        <v>0.36269430051813478</v>
      </c>
      <c r="AN13" s="59"/>
      <c r="AO13" s="58">
        <v>0.37594799566630538</v>
      </c>
      <c r="AP13" s="59">
        <v>88.4</v>
      </c>
      <c r="AQ13" s="58">
        <v>0.54954954954954993</v>
      </c>
      <c r="AR13" s="59">
        <v>79.900000000000006</v>
      </c>
      <c r="AS13" s="58">
        <v>0.36666666666666714</v>
      </c>
      <c r="AT13" s="57"/>
      <c r="AU13" s="58">
        <v>0</v>
      </c>
      <c r="AV13" s="59"/>
      <c r="AW13" s="58">
        <v>0.60478607686729513</v>
      </c>
      <c r="AX13" s="57"/>
      <c r="AY13" s="58">
        <v>5.8554097868866783E-2</v>
      </c>
      <c r="AZ13" s="59"/>
      <c r="BA13" s="58">
        <v>0</v>
      </c>
      <c r="BB13" s="59"/>
      <c r="BC13" s="58">
        <v>7.6923076923076872E-2</v>
      </c>
      <c r="BD13" s="59"/>
      <c r="BE13" s="58">
        <v>0.45995633540264363</v>
      </c>
      <c r="BF13" s="59"/>
      <c r="BG13" s="58">
        <v>0.64005180042228893</v>
      </c>
      <c r="BH13" s="68"/>
      <c r="BI13" s="58">
        <v>0.50884955752212391</v>
      </c>
      <c r="BJ13" s="68"/>
      <c r="BK13" s="58">
        <v>0.28671328671328672</v>
      </c>
      <c r="BL13" s="68"/>
      <c r="BM13" s="58">
        <v>0.48169119979324038</v>
      </c>
      <c r="BN13" s="59"/>
      <c r="BO13" s="58">
        <v>0.2130681818181818</v>
      </c>
      <c r="BP13" s="59"/>
      <c r="BQ13" s="58">
        <v>0.60229574611748837</v>
      </c>
      <c r="BR13" s="2"/>
      <c r="BS13" s="58">
        <v>0.15245901639344261</v>
      </c>
      <c r="BT13" s="2">
        <v>53</v>
      </c>
      <c r="BU13" s="58">
        <v>0.13688212927756654</v>
      </c>
      <c r="BV13" s="64">
        <v>52</v>
      </c>
      <c r="BW13" s="63">
        <v>0.45</v>
      </c>
    </row>
    <row r="14" spans="1:75" x14ac:dyDescent="0.45">
      <c r="A14" s="56" t="s">
        <v>108</v>
      </c>
      <c r="B14" s="57"/>
      <c r="C14" s="58">
        <v>0.40443536002880653</v>
      </c>
      <c r="D14" s="57"/>
      <c r="E14" s="58">
        <v>0.44736842105263164</v>
      </c>
      <c r="F14" s="59"/>
      <c r="G14" s="58">
        <v>3.9215686274509838E-2</v>
      </c>
      <c r="H14" s="59"/>
      <c r="I14" s="58">
        <v>-0.14215686274509801</v>
      </c>
      <c r="J14" s="60"/>
      <c r="K14" s="58">
        <v>0.22037911888734513</v>
      </c>
      <c r="L14" s="57"/>
      <c r="M14" s="58">
        <v>0.26829268292682928</v>
      </c>
      <c r="N14" s="61"/>
      <c r="O14" s="58">
        <v>0</v>
      </c>
      <c r="P14" s="62"/>
      <c r="Q14" s="63">
        <v>0</v>
      </c>
      <c r="R14" s="2"/>
      <c r="S14" s="58">
        <v>1.6680567139282735E-3</v>
      </c>
      <c r="T14" s="64"/>
      <c r="U14" s="63">
        <v>1.5267175572519083E-2</v>
      </c>
      <c r="V14" s="57"/>
      <c r="W14" s="58">
        <v>0</v>
      </c>
      <c r="X14" s="57"/>
      <c r="Y14" s="58">
        <v>0.64062499999999933</v>
      </c>
      <c r="Z14" s="65"/>
      <c r="AA14" s="58">
        <v>0.18735157817074852</v>
      </c>
      <c r="AB14" s="66"/>
      <c r="AC14" s="58">
        <v>0.52434372227064641</v>
      </c>
      <c r="AD14" s="59"/>
      <c r="AE14" s="58">
        <v>0.82464454976303303</v>
      </c>
      <c r="AF14" s="59"/>
      <c r="AG14" s="58">
        <v>0.55496894409937891</v>
      </c>
      <c r="AH14" s="67"/>
      <c r="AI14" s="58">
        <v>0.61481254249092077</v>
      </c>
      <c r="AJ14" s="59"/>
      <c r="AK14" s="58">
        <v>0.12509702566954323</v>
      </c>
      <c r="AL14" s="59"/>
      <c r="AM14" s="58">
        <v>0</v>
      </c>
      <c r="AN14" s="59"/>
      <c r="AO14" s="58">
        <v>0.51795982998582879</v>
      </c>
      <c r="AP14" s="59">
        <v>90.7</v>
      </c>
      <c r="AQ14" s="58">
        <v>0.75675675675675669</v>
      </c>
      <c r="AR14" s="59">
        <v>84.8</v>
      </c>
      <c r="AS14" s="58">
        <v>0.7749999999999998</v>
      </c>
      <c r="AT14" s="57"/>
      <c r="AU14" s="58">
        <v>0.40933156203731769</v>
      </c>
      <c r="AV14" s="59"/>
      <c r="AW14" s="58">
        <v>0.67621464829586675</v>
      </c>
      <c r="AX14" s="57"/>
      <c r="AY14" s="58">
        <v>0.27474715187906379</v>
      </c>
      <c r="AZ14" s="59"/>
      <c r="BA14" s="58">
        <v>0.30725863284002819</v>
      </c>
      <c r="BB14" s="59"/>
      <c r="BC14" s="58">
        <v>0.29326923076923078</v>
      </c>
      <c r="BD14" s="59"/>
      <c r="BE14" s="58">
        <v>0.78178031592465369</v>
      </c>
      <c r="BF14" s="59"/>
      <c r="BG14" s="58">
        <v>0.16570131674594321</v>
      </c>
      <c r="BH14" s="68"/>
      <c r="BI14" s="58">
        <v>0.26548672566371684</v>
      </c>
      <c r="BJ14" s="68"/>
      <c r="BK14" s="58">
        <v>0.2937062937062937</v>
      </c>
      <c r="BL14" s="68"/>
      <c r="BM14" s="58">
        <v>0.41287313652009444</v>
      </c>
      <c r="BN14" s="59"/>
      <c r="BO14" s="58">
        <v>7.1022727272727265E-2</v>
      </c>
      <c r="BP14" s="59"/>
      <c r="BQ14" s="58">
        <v>0.13841998649561113</v>
      </c>
      <c r="BR14" s="2"/>
      <c r="BS14" s="58">
        <v>0</v>
      </c>
      <c r="BT14" s="2">
        <v>35</v>
      </c>
      <c r="BU14" s="58">
        <v>6.8441064638783272E-2</v>
      </c>
      <c r="BV14" s="64">
        <v>35</v>
      </c>
      <c r="BW14" s="63">
        <v>0.23749999999999999</v>
      </c>
    </row>
    <row r="15" spans="1:75" x14ac:dyDescent="0.45">
      <c r="A15" s="56" t="s">
        <v>109</v>
      </c>
      <c r="B15" s="57"/>
      <c r="C15" s="58">
        <v>0.5811671462942869</v>
      </c>
      <c r="D15" s="57"/>
      <c r="E15" s="58">
        <v>0.52631578947368418</v>
      </c>
      <c r="F15" s="59"/>
      <c r="G15" s="58">
        <v>8.8235294117646995E-2</v>
      </c>
      <c r="H15" s="59"/>
      <c r="I15" s="58">
        <v>-3.7254901960784292E-2</v>
      </c>
      <c r="J15" s="60"/>
      <c r="K15" s="58">
        <v>0.14769078759088025</v>
      </c>
      <c r="L15" s="57"/>
      <c r="M15" s="58">
        <v>0.26829268292682928</v>
      </c>
      <c r="N15" s="61"/>
      <c r="O15" s="58">
        <v>3.4129692832764506E-2</v>
      </c>
      <c r="P15" s="62"/>
      <c r="Q15" s="63">
        <v>0.16393442622950818</v>
      </c>
      <c r="R15" s="2"/>
      <c r="S15" s="58">
        <v>1.4595496246872394E-2</v>
      </c>
      <c r="T15" s="64"/>
      <c r="U15" s="63">
        <v>0.13358778625954199</v>
      </c>
      <c r="V15" s="57"/>
      <c r="W15" s="58">
        <v>4.5454545454545504E-3</v>
      </c>
      <c r="X15" s="57"/>
      <c r="Y15" s="58">
        <v>1</v>
      </c>
      <c r="Z15" s="65"/>
      <c r="AA15" s="58">
        <v>0.3484994505029973</v>
      </c>
      <c r="AB15" s="66"/>
      <c r="AC15" s="58">
        <v>0.41961820851688691</v>
      </c>
      <c r="AD15" s="59"/>
      <c r="AE15" s="58">
        <v>0.44549763033175377</v>
      </c>
      <c r="AF15" s="59"/>
      <c r="AG15" s="58">
        <v>0.53881987577639767</v>
      </c>
      <c r="AH15" s="67"/>
      <c r="AI15" s="58">
        <v>0.50813154175947806</v>
      </c>
      <c r="AJ15" s="59"/>
      <c r="AK15" s="58">
        <v>0.19452058571860656</v>
      </c>
      <c r="AL15" s="59"/>
      <c r="AM15" s="58">
        <v>0.20489872821478777</v>
      </c>
      <c r="AN15" s="59"/>
      <c r="AO15" s="58">
        <v>0.54271497933469559</v>
      </c>
      <c r="AP15" s="59">
        <v>85.1</v>
      </c>
      <c r="AQ15" s="58">
        <v>0.25225225225225179</v>
      </c>
      <c r="AR15" s="59">
        <v>79.5</v>
      </c>
      <c r="AS15" s="58">
        <v>0.33333333333333331</v>
      </c>
      <c r="AT15" s="57"/>
      <c r="AU15" s="58">
        <v>0.37390332587257918</v>
      </c>
      <c r="AV15" s="59"/>
      <c r="AW15" s="58">
        <v>0.92023205221174753</v>
      </c>
      <c r="AX15" s="57"/>
      <c r="AY15" s="58">
        <v>0.46851546798000426</v>
      </c>
      <c r="AZ15" s="59"/>
      <c r="BA15" s="58">
        <v>0.37209302325581406</v>
      </c>
      <c r="BB15" s="59"/>
      <c r="BC15" s="58">
        <v>0.44230769230769224</v>
      </c>
      <c r="BD15" s="59"/>
      <c r="BE15" s="58">
        <v>1</v>
      </c>
      <c r="BF15" s="59"/>
      <c r="BG15" s="58">
        <v>0.57223080199301057</v>
      </c>
      <c r="BH15" s="68"/>
      <c r="BI15" s="58">
        <v>0.48672566371681414</v>
      </c>
      <c r="BJ15" s="68"/>
      <c r="BK15" s="58">
        <v>0.56643356643356646</v>
      </c>
      <c r="BL15" s="68"/>
      <c r="BM15" s="58">
        <v>0.89546890969538195</v>
      </c>
      <c r="BN15" s="59"/>
      <c r="BO15" s="58">
        <v>0</v>
      </c>
      <c r="BP15" s="59"/>
      <c r="BQ15" s="58">
        <v>5.1991897366644134E-2</v>
      </c>
      <c r="BR15" s="2"/>
      <c r="BS15" s="58">
        <v>6.502732240437159E-2</v>
      </c>
      <c r="BT15" s="2">
        <v>26</v>
      </c>
      <c r="BU15" s="58">
        <v>3.4220532319391636E-2</v>
      </c>
      <c r="BV15" s="64">
        <v>26</v>
      </c>
      <c r="BW15" s="63">
        <v>0.125</v>
      </c>
    </row>
    <row r="16" spans="1:75" x14ac:dyDescent="0.45">
      <c r="A16" s="56" t="s">
        <v>110</v>
      </c>
      <c r="B16" s="57"/>
      <c r="C16" s="58">
        <v>3.5369292426582336E-2</v>
      </c>
      <c r="D16" s="57"/>
      <c r="E16" s="58">
        <v>0.13157894736842107</v>
      </c>
      <c r="F16" s="59"/>
      <c r="G16" s="58">
        <v>0.29411764705882348</v>
      </c>
      <c r="H16" s="59"/>
      <c r="I16" s="58">
        <v>-0.38921568627450975</v>
      </c>
      <c r="J16" s="60"/>
      <c r="K16" s="58">
        <v>0.49314842899234324</v>
      </c>
      <c r="L16" s="57"/>
      <c r="M16" s="58">
        <v>0.43902439024390244</v>
      </c>
      <c r="N16" s="61"/>
      <c r="O16" s="58">
        <v>0.11262798634812286</v>
      </c>
      <c r="P16" s="62"/>
      <c r="Q16" s="63">
        <v>0.54098360655737709</v>
      </c>
      <c r="R16" s="2"/>
      <c r="S16" s="58">
        <v>8.507089241034195E-2</v>
      </c>
      <c r="T16" s="64"/>
      <c r="U16" s="63">
        <v>0.77862595419847325</v>
      </c>
      <c r="V16" s="57"/>
      <c r="W16" s="58">
        <v>0.58636363636363642</v>
      </c>
      <c r="X16" s="57"/>
      <c r="Y16" s="58">
        <v>1</v>
      </c>
      <c r="Z16" s="65"/>
      <c r="AA16" s="58">
        <v>1</v>
      </c>
      <c r="AB16" s="66"/>
      <c r="AC16" s="58">
        <v>1</v>
      </c>
      <c r="AD16" s="59"/>
      <c r="AE16" s="58">
        <v>1</v>
      </c>
      <c r="AF16" s="59"/>
      <c r="AG16" s="58">
        <v>0</v>
      </c>
      <c r="AH16" s="67"/>
      <c r="AI16" s="58">
        <v>1</v>
      </c>
      <c r="AJ16" s="59"/>
      <c r="AK16" s="58">
        <v>0.57951777224945888</v>
      </c>
      <c r="AL16" s="59"/>
      <c r="AM16" s="58">
        <v>0.6924163918982541</v>
      </c>
      <c r="AN16" s="59"/>
      <c r="AO16" s="58">
        <v>1</v>
      </c>
      <c r="AP16" s="59">
        <v>85.7</v>
      </c>
      <c r="AQ16" s="58">
        <v>0.30630630630630656</v>
      </c>
      <c r="AR16" s="59">
        <v>87.5</v>
      </c>
      <c r="AS16" s="58">
        <v>1</v>
      </c>
      <c r="AT16" s="57"/>
      <c r="AU16" s="58">
        <v>9.0141124595454522E-2</v>
      </c>
      <c r="AV16" s="59"/>
      <c r="AW16" s="58">
        <v>0.78571428571428592</v>
      </c>
      <c r="AX16" s="57"/>
      <c r="AY16" s="58">
        <v>0</v>
      </c>
      <c r="AZ16" s="59"/>
      <c r="BA16" s="58">
        <v>1.4799154334038186E-2</v>
      </c>
      <c r="BB16" s="59"/>
      <c r="BC16" s="58">
        <v>0</v>
      </c>
      <c r="BD16" s="59"/>
      <c r="BE16" s="58">
        <v>0.51757910270552798</v>
      </c>
      <c r="BF16" s="59"/>
      <c r="BG16" s="58">
        <v>0.23804997828290556</v>
      </c>
      <c r="BH16" s="68"/>
      <c r="BI16" s="58">
        <v>0</v>
      </c>
      <c r="BJ16" s="68"/>
      <c r="BK16" s="58">
        <v>0</v>
      </c>
      <c r="BL16" s="68"/>
      <c r="BM16" s="58">
        <v>0.65634434876590342</v>
      </c>
      <c r="BN16" s="59"/>
      <c r="BO16" s="58">
        <v>1</v>
      </c>
      <c r="BP16" s="59"/>
      <c r="BQ16" s="58">
        <v>0.93652937204591502</v>
      </c>
      <c r="BR16" s="2"/>
      <c r="BS16" s="58">
        <v>0.30163934426229511</v>
      </c>
      <c r="BT16" s="2">
        <v>85</v>
      </c>
      <c r="BU16" s="58">
        <v>0.2585551330798479</v>
      </c>
      <c r="BV16" s="64">
        <v>85</v>
      </c>
      <c r="BW16" s="63">
        <v>0.86250000000000004</v>
      </c>
    </row>
    <row r="17" spans="1:75" x14ac:dyDescent="0.45">
      <c r="A17" s="56" t="s">
        <v>111</v>
      </c>
      <c r="B17" s="57"/>
      <c r="C17" s="58">
        <v>0.3085279363431932</v>
      </c>
      <c r="D17" s="57"/>
      <c r="E17" s="58">
        <v>0.60526315789473684</v>
      </c>
      <c r="F17" s="59"/>
      <c r="G17" s="58">
        <v>9.8039215686274453E-2</v>
      </c>
      <c r="H17" s="59"/>
      <c r="I17" s="58">
        <v>-3.0392156862745084E-2</v>
      </c>
      <c r="J17" s="60"/>
      <c r="K17" s="58">
        <v>0.14826597281494741</v>
      </c>
      <c r="L17" s="57"/>
      <c r="M17" s="58">
        <v>9.7560975609756184E-3</v>
      </c>
      <c r="N17" s="61"/>
      <c r="O17" s="58">
        <v>0.13310580204778158</v>
      </c>
      <c r="P17" s="62"/>
      <c r="Q17" s="63">
        <v>0.63934426229508201</v>
      </c>
      <c r="R17" s="2"/>
      <c r="S17" s="58">
        <v>8.3402835696413671E-2</v>
      </c>
      <c r="T17" s="64"/>
      <c r="U17" s="63">
        <v>0.76335877862595425</v>
      </c>
      <c r="V17" s="57"/>
      <c r="W17" s="58">
        <v>0.15000000000000016</v>
      </c>
      <c r="X17" s="57"/>
      <c r="Y17" s="58">
        <v>0.64062499999999933</v>
      </c>
      <c r="Z17" s="65"/>
      <c r="AA17" s="58">
        <v>0.11473497337053024</v>
      </c>
      <c r="AB17" s="66"/>
      <c r="AC17" s="58">
        <v>0.46603123748498193</v>
      </c>
      <c r="AD17" s="59"/>
      <c r="AE17" s="58">
        <v>0</v>
      </c>
      <c r="AF17" s="59"/>
      <c r="AG17" s="58">
        <v>0.69658385093167718</v>
      </c>
      <c r="AH17" s="67"/>
      <c r="AI17" s="58">
        <v>0.42663648774879576</v>
      </c>
      <c r="AJ17" s="59"/>
      <c r="AK17" s="58">
        <v>0.35356543663921119</v>
      </c>
      <c r="AL17" s="59"/>
      <c r="AM17" s="58">
        <v>8.2901554404143322E-3</v>
      </c>
      <c r="AN17" s="59"/>
      <c r="AO17" s="58">
        <v>0.34994582881906833</v>
      </c>
      <c r="AP17" s="59">
        <v>88.3</v>
      </c>
      <c r="AQ17" s="58">
        <v>0.54054054054054013</v>
      </c>
      <c r="AR17" s="59">
        <v>82.5</v>
      </c>
      <c r="AS17" s="58">
        <v>0.58333333333333337</v>
      </c>
      <c r="AT17" s="57"/>
      <c r="AU17" s="58">
        <v>0.34602651264039891</v>
      </c>
      <c r="AV17" s="59"/>
      <c r="AW17" s="58">
        <v>0.23386511965192175</v>
      </c>
      <c r="AX17" s="57"/>
      <c r="AY17" s="58">
        <v>0.29780782789988608</v>
      </c>
      <c r="AZ17" s="59"/>
      <c r="BA17" s="58">
        <v>0.33967582804792101</v>
      </c>
      <c r="BB17" s="59"/>
      <c r="BC17" s="58">
        <v>0.19230769230769232</v>
      </c>
      <c r="BD17" s="59"/>
      <c r="BE17" s="58">
        <v>0.86135405243849295</v>
      </c>
      <c r="BF17" s="59"/>
      <c r="BG17" s="58">
        <v>0.14425008871630277</v>
      </c>
      <c r="BH17" s="68"/>
      <c r="BI17" s="58">
        <v>0.17699115044247787</v>
      </c>
      <c r="BJ17" s="68"/>
      <c r="BK17" s="58">
        <v>0.13286713286713286</v>
      </c>
      <c r="BL17" s="68"/>
      <c r="BM17" s="58">
        <v>1</v>
      </c>
      <c r="BN17" s="59"/>
      <c r="BO17" s="58">
        <v>0.34090909090909094</v>
      </c>
      <c r="BP17" s="59"/>
      <c r="BQ17" s="58">
        <v>0.63133018230925064</v>
      </c>
      <c r="BR17" s="2"/>
      <c r="BS17" s="58">
        <v>0.1185792349726776</v>
      </c>
      <c r="BT17" s="2">
        <v>37</v>
      </c>
      <c r="BU17" s="58">
        <v>7.6045627376425853E-2</v>
      </c>
      <c r="BV17" s="64">
        <v>37</v>
      </c>
      <c r="BW17" s="63">
        <v>0.26250000000000001</v>
      </c>
    </row>
    <row r="18" spans="1:75" x14ac:dyDescent="0.45">
      <c r="A18" s="56" t="s">
        <v>112</v>
      </c>
      <c r="B18" s="57"/>
      <c r="C18" s="58">
        <v>1</v>
      </c>
      <c r="D18" s="57"/>
      <c r="E18" s="58">
        <v>0.80263157894736847</v>
      </c>
      <c r="F18" s="59"/>
      <c r="G18" s="58">
        <v>8.8235294117646995E-2</v>
      </c>
      <c r="H18" s="59"/>
      <c r="I18" s="58">
        <v>1.5686274509803963E-2</v>
      </c>
      <c r="J18" s="60"/>
      <c r="K18" s="58">
        <v>0</v>
      </c>
      <c r="L18" s="57"/>
      <c r="M18" s="58">
        <v>0.34634146341463407</v>
      </c>
      <c r="N18" s="61"/>
      <c r="O18" s="58">
        <v>4.0955631399317405E-2</v>
      </c>
      <c r="P18" s="62"/>
      <c r="Q18" s="63">
        <v>0.19672131147540983</v>
      </c>
      <c r="R18" s="2"/>
      <c r="S18" s="58">
        <v>5.8381984987489572E-3</v>
      </c>
      <c r="T18" s="64"/>
      <c r="U18" s="63">
        <v>5.3435114503816793E-2</v>
      </c>
      <c r="V18" s="57"/>
      <c r="W18" s="58">
        <v>0.25000000000000028</v>
      </c>
      <c r="X18" s="57"/>
      <c r="Y18" s="58">
        <v>1</v>
      </c>
      <c r="Z18" s="65"/>
      <c r="AA18" s="58">
        <v>0.20237044551525732</v>
      </c>
      <c r="AB18" s="66"/>
      <c r="AC18" s="58">
        <v>0.35365435646959331</v>
      </c>
      <c r="AD18" s="59"/>
      <c r="AE18" s="58">
        <v>0.39336492890995284</v>
      </c>
      <c r="AF18" s="59"/>
      <c r="AG18" s="58">
        <v>0.80341614906832326</v>
      </c>
      <c r="AH18" s="67"/>
      <c r="AI18" s="58">
        <v>0.37771865533633564</v>
      </c>
      <c r="AJ18" s="59"/>
      <c r="AK18" s="58">
        <v>0.28955135478420146</v>
      </c>
      <c r="AL18" s="59"/>
      <c r="AM18" s="58">
        <v>6.2316202212575229E-2</v>
      </c>
      <c r="AN18" s="59"/>
      <c r="AO18" s="58">
        <v>0.48098306437817118</v>
      </c>
      <c r="AP18" s="59">
        <v>82.6</v>
      </c>
      <c r="AQ18" s="58">
        <v>2.7027027027026751E-2</v>
      </c>
      <c r="AR18" s="59">
        <v>81.3</v>
      </c>
      <c r="AS18" s="58">
        <v>0.48333333333333311</v>
      </c>
      <c r="AT18" s="57"/>
      <c r="AU18" s="58">
        <v>0.69162963928461341</v>
      </c>
      <c r="AV18" s="59"/>
      <c r="AW18" s="58">
        <v>0.38361131254532282</v>
      </c>
      <c r="AX18" s="57"/>
      <c r="AY18" s="58">
        <v>0.48212460596969547</v>
      </c>
      <c r="AZ18" s="59"/>
      <c r="BA18" s="58">
        <v>0.63988724453840728</v>
      </c>
      <c r="BB18" s="59"/>
      <c r="BC18" s="58">
        <v>0.3413461538461538</v>
      </c>
      <c r="BD18" s="59"/>
      <c r="BE18" s="58">
        <v>0.78705015889698482</v>
      </c>
      <c r="BF18" s="59"/>
      <c r="BG18" s="58">
        <v>0.19941876772131201</v>
      </c>
      <c r="BH18" s="68"/>
      <c r="BI18" s="58">
        <v>0.55309734513274333</v>
      </c>
      <c r="BJ18" s="68"/>
      <c r="BK18" s="58">
        <v>0.66433566433566438</v>
      </c>
      <c r="BL18" s="68"/>
      <c r="BM18" s="58">
        <v>0.4146940309904491</v>
      </c>
      <c r="BN18" s="59"/>
      <c r="BO18" s="58">
        <v>0.39772727272727254</v>
      </c>
      <c r="BP18" s="59"/>
      <c r="BQ18" s="58">
        <v>0.59419311276164766</v>
      </c>
      <c r="BR18" s="2"/>
      <c r="BS18" s="58">
        <v>8.1967213114754092E-2</v>
      </c>
      <c r="BT18" s="2">
        <v>30</v>
      </c>
      <c r="BU18" s="58">
        <v>4.9429657794676805E-2</v>
      </c>
      <c r="BV18" s="64">
        <v>30</v>
      </c>
      <c r="BW18" s="63">
        <v>0.17499999999999999</v>
      </c>
    </row>
    <row r="19" spans="1:75" x14ac:dyDescent="0.45">
      <c r="A19" s="56" t="s">
        <v>113</v>
      </c>
      <c r="B19" s="57"/>
      <c r="C19" s="58">
        <v>0.53674753502854178</v>
      </c>
      <c r="D19" s="57"/>
      <c r="E19" s="58">
        <v>0.65789473684210531</v>
      </c>
      <c r="F19" s="59"/>
      <c r="G19" s="58">
        <v>0</v>
      </c>
      <c r="H19" s="59"/>
      <c r="I19" s="58">
        <v>0.29607843137254902</v>
      </c>
      <c r="J19" s="60"/>
      <c r="K19" s="58">
        <v>5.9143030031662706E-2</v>
      </c>
      <c r="L19" s="57"/>
      <c r="M19" s="58">
        <v>0.52682926829268284</v>
      </c>
      <c r="N19" s="61"/>
      <c r="O19" s="58">
        <v>1.7064846416382253E-2</v>
      </c>
      <c r="P19" s="62"/>
      <c r="Q19" s="63">
        <v>8.1967213114754092E-2</v>
      </c>
      <c r="R19" s="2"/>
      <c r="S19" s="58">
        <v>4.4203502919099247E-2</v>
      </c>
      <c r="T19" s="64"/>
      <c r="U19" s="63">
        <v>0.40458015267175573</v>
      </c>
      <c r="V19" s="57"/>
      <c r="W19" s="58">
        <v>0.71818181818181837</v>
      </c>
      <c r="X19" s="57"/>
      <c r="Y19" s="58">
        <v>0.79687499999999967</v>
      </c>
      <c r="Z19" s="65"/>
      <c r="AA19" s="58">
        <v>3.4695632272069628E-2</v>
      </c>
      <c r="AB19" s="66"/>
      <c r="AC19" s="58">
        <v>0</v>
      </c>
      <c r="AD19" s="59"/>
      <c r="AE19" s="58">
        <v>0.5924170616113742</v>
      </c>
      <c r="AF19" s="59"/>
      <c r="AG19" s="58">
        <v>0.87298136645962754</v>
      </c>
      <c r="AH19" s="67"/>
      <c r="AI19" s="58">
        <v>0</v>
      </c>
      <c r="AJ19" s="59"/>
      <c r="AK19" s="58">
        <v>0.19110153912924066</v>
      </c>
      <c r="AL19" s="59"/>
      <c r="AM19" s="58">
        <v>0.10059530371513455</v>
      </c>
      <c r="AN19" s="59"/>
      <c r="AO19" s="58">
        <v>0.14316669246246594</v>
      </c>
      <c r="AP19" s="59">
        <v>84.9</v>
      </c>
      <c r="AQ19" s="58">
        <v>0.23423423423423481</v>
      </c>
      <c r="AR19" s="59">
        <v>78</v>
      </c>
      <c r="AS19" s="58">
        <v>0.20833333333333334</v>
      </c>
      <c r="AT19" s="57"/>
      <c r="AU19" s="58">
        <v>1</v>
      </c>
      <c r="AV19" s="59"/>
      <c r="AW19" s="58">
        <v>0.87635968092820915</v>
      </c>
      <c r="AX19" s="57"/>
      <c r="AY19" s="58">
        <v>1</v>
      </c>
      <c r="AZ19" s="59"/>
      <c r="BA19" s="58">
        <v>1</v>
      </c>
      <c r="BB19" s="59"/>
      <c r="BC19" s="58">
        <v>1</v>
      </c>
      <c r="BD19" s="59"/>
      <c r="BE19" s="58">
        <v>0.40614051591837941</v>
      </c>
      <c r="BF19" s="59"/>
      <c r="BG19" s="58">
        <v>0.53810601862577478</v>
      </c>
      <c r="BH19" s="68"/>
      <c r="BI19" s="58">
        <v>0.52654867256637172</v>
      </c>
      <c r="BJ19" s="68"/>
      <c r="BK19" s="58">
        <v>0.57342657342657344</v>
      </c>
      <c r="BL19" s="68"/>
      <c r="BM19" s="58">
        <v>0.93999271642211857</v>
      </c>
      <c r="BN19" s="59"/>
      <c r="BO19" s="58">
        <v>0.12215909090909106</v>
      </c>
      <c r="BP19" s="59"/>
      <c r="BQ19" s="58">
        <v>0</v>
      </c>
      <c r="BR19" s="2"/>
      <c r="BS19" s="58">
        <v>0.14918032786885246</v>
      </c>
      <c r="BT19" s="2">
        <v>17</v>
      </c>
      <c r="BU19" s="58">
        <v>0</v>
      </c>
      <c r="BV19" s="64">
        <v>16</v>
      </c>
      <c r="BW19" s="63">
        <v>0</v>
      </c>
    </row>
    <row r="20" spans="1:75" x14ac:dyDescent="0.45">
      <c r="A20" s="56" t="s">
        <v>114</v>
      </c>
      <c r="B20" s="57"/>
      <c r="C20" s="58">
        <v>0</v>
      </c>
      <c r="D20" s="57"/>
      <c r="E20" s="58">
        <v>0.18421052631578949</v>
      </c>
      <c r="F20" s="59"/>
      <c r="G20" s="58">
        <v>0</v>
      </c>
      <c r="H20" s="59"/>
      <c r="I20" s="58">
        <v>-0.24313725490196073</v>
      </c>
      <c r="J20" s="60"/>
      <c r="K20" s="58">
        <v>0.16176274602590579</v>
      </c>
      <c r="L20" s="57"/>
      <c r="M20" s="58">
        <v>0.79999999999999982</v>
      </c>
      <c r="N20" s="61"/>
      <c r="O20" s="58">
        <v>7.5085324232081918E-2</v>
      </c>
      <c r="P20" s="62"/>
      <c r="Q20" s="63">
        <v>0.36065573770491804</v>
      </c>
      <c r="R20" s="2"/>
      <c r="S20" s="58">
        <v>4.1701417848206836E-2</v>
      </c>
      <c r="T20" s="64"/>
      <c r="U20" s="63">
        <v>0.38167938931297712</v>
      </c>
      <c r="V20" s="57"/>
      <c r="W20" s="58">
        <v>0.69090909090909114</v>
      </c>
      <c r="X20" s="57"/>
      <c r="Y20" s="58">
        <v>0.74999999999999956</v>
      </c>
      <c r="Z20" s="65"/>
      <c r="AA20" s="58">
        <v>0.37774877368352278</v>
      </c>
      <c r="AB20" s="66"/>
      <c r="AC20" s="58">
        <v>0.66314557861590706</v>
      </c>
      <c r="AD20" s="59"/>
      <c r="AE20" s="58">
        <v>0.928909952606635</v>
      </c>
      <c r="AF20" s="59"/>
      <c r="AG20" s="58">
        <v>0.29037267080745344</v>
      </c>
      <c r="AH20" s="59"/>
      <c r="AI20" s="58">
        <v>0.4610907523173095</v>
      </c>
      <c r="AJ20" s="59"/>
      <c r="AK20" s="58">
        <v>0.58926880094379486</v>
      </c>
      <c r="AL20" s="59"/>
      <c r="AM20" s="58">
        <v>0.31088082901554409</v>
      </c>
      <c r="AN20" s="59"/>
      <c r="AO20" s="58">
        <v>0.40122788010111793</v>
      </c>
      <c r="AP20" s="59">
        <v>89.5</v>
      </c>
      <c r="AQ20" s="58">
        <v>0.64864864864864835</v>
      </c>
      <c r="AR20" s="59">
        <v>86.9</v>
      </c>
      <c r="AS20" s="58">
        <v>0.95000000000000051</v>
      </c>
      <c r="AT20" s="57"/>
      <c r="AU20" s="58">
        <v>0.2598168135808685</v>
      </c>
      <c r="AV20" s="59"/>
      <c r="AW20" s="58">
        <v>0.34517766497461921</v>
      </c>
      <c r="AX20" s="57"/>
      <c r="AY20" s="58">
        <v>2.6408109783351851E-2</v>
      </c>
      <c r="AZ20" s="59"/>
      <c r="BA20" s="58">
        <v>0.15926708949964771</v>
      </c>
      <c r="BB20" s="59"/>
      <c r="BC20" s="58">
        <v>0.10096153846153844</v>
      </c>
      <c r="BD20" s="59"/>
      <c r="BE20" s="58">
        <v>0.80869626602908073</v>
      </c>
      <c r="BF20" s="59"/>
      <c r="BG20" s="58">
        <v>0.77619887534067122</v>
      </c>
      <c r="BH20" s="68"/>
      <c r="BI20" s="58">
        <v>0.21238938053097345</v>
      </c>
      <c r="BJ20" s="68"/>
      <c r="BK20" s="58">
        <v>0.23776223776223776</v>
      </c>
      <c r="BL20" s="68"/>
      <c r="BM20" s="58">
        <v>3.7486930676785359E-2</v>
      </c>
      <c r="BN20" s="59"/>
      <c r="BO20" s="58">
        <v>0.5142045454545453</v>
      </c>
      <c r="BP20" s="59"/>
      <c r="BQ20" s="58">
        <v>0.52261985145172196</v>
      </c>
      <c r="BR20" s="2"/>
      <c r="BS20" s="58">
        <v>6.4480874316939885E-2</v>
      </c>
      <c r="BT20" s="2">
        <v>96</v>
      </c>
      <c r="BU20" s="58">
        <v>0.30038022813688214</v>
      </c>
      <c r="BV20" s="64">
        <v>96</v>
      </c>
      <c r="BW20" s="63">
        <v>1</v>
      </c>
    </row>
    <row r="21" spans="1:75" x14ac:dyDescent="0.45">
      <c r="A21" s="56" t="s">
        <v>115</v>
      </c>
      <c r="B21" s="57"/>
      <c r="C21" s="58">
        <v>0.48975090814737932</v>
      </c>
      <c r="D21" s="57"/>
      <c r="E21" s="58">
        <v>0.88157894736842113</v>
      </c>
      <c r="F21" s="59"/>
      <c r="G21" s="58">
        <v>1</v>
      </c>
      <c r="H21" s="59"/>
      <c r="I21" s="58">
        <v>-0.12058823529411762</v>
      </c>
      <c r="J21" s="60"/>
      <c r="K21" s="58">
        <v>1</v>
      </c>
      <c r="L21" s="57"/>
      <c r="M21" s="58">
        <v>5.8536585365853641E-2</v>
      </c>
      <c r="N21" s="61"/>
      <c r="O21" s="58">
        <v>1</v>
      </c>
      <c r="P21" s="62" t="s">
        <v>105</v>
      </c>
      <c r="Q21" s="63"/>
      <c r="R21" s="2"/>
      <c r="S21" s="58">
        <v>1</v>
      </c>
      <c r="T21" s="64" t="s">
        <v>105</v>
      </c>
      <c r="U21" s="63"/>
      <c r="V21" s="57"/>
      <c r="W21" s="58">
        <v>0.70909090909090933</v>
      </c>
      <c r="X21" s="57"/>
      <c r="Y21" s="58">
        <v>0.85937499999999978</v>
      </c>
      <c r="Z21" s="65"/>
      <c r="AA21" s="58">
        <v>0.17523519679238334</v>
      </c>
      <c r="AB21" s="66"/>
      <c r="AC21" s="58">
        <v>0.39083972662619915</v>
      </c>
      <c r="AD21" s="59"/>
      <c r="AE21" s="58">
        <v>0.19905213270142191</v>
      </c>
      <c r="AF21" s="59"/>
      <c r="AG21" s="58">
        <v>0.76832298136645971</v>
      </c>
      <c r="AH21" s="59"/>
      <c r="AI21" s="58">
        <v>0.48738952360422477</v>
      </c>
      <c r="AJ21" s="59"/>
      <c r="AK21" s="58">
        <v>0.17282714441929223</v>
      </c>
      <c r="AL21" s="59"/>
      <c r="AM21" s="58">
        <v>0.26377767310409334</v>
      </c>
      <c r="AN21" s="59"/>
      <c r="AO21" s="58">
        <v>0.24810400866738899</v>
      </c>
      <c r="AP21" s="59">
        <v>86</v>
      </c>
      <c r="AQ21" s="58">
        <v>0.33333333333333331</v>
      </c>
      <c r="AR21" s="59">
        <v>78.5</v>
      </c>
      <c r="AS21" s="58">
        <v>0.25</v>
      </c>
      <c r="AT21" s="57"/>
      <c r="AU21" s="58">
        <v>0.12486736470534095</v>
      </c>
      <c r="AV21" s="59"/>
      <c r="AW21" s="58">
        <v>0.21827411167512686</v>
      </c>
      <c r="AX21" s="57"/>
      <c r="AY21" s="58">
        <v>9.2296923958850141E-2</v>
      </c>
      <c r="AZ21" s="59"/>
      <c r="BA21" s="58">
        <v>0.20718816067653284</v>
      </c>
      <c r="BB21" s="59"/>
      <c r="BC21" s="58">
        <v>4.2067307692307647E-2</v>
      </c>
      <c r="BD21" s="59"/>
      <c r="BE21" s="58">
        <v>8.5115349499494869E-2</v>
      </c>
      <c r="BF21" s="59"/>
      <c r="BG21" s="58">
        <v>0.21835385235643306</v>
      </c>
      <c r="BH21" s="68"/>
      <c r="BI21" s="58">
        <v>0</v>
      </c>
      <c r="BJ21" s="68"/>
      <c r="BK21" s="58">
        <v>0</v>
      </c>
      <c r="BL21" s="68"/>
      <c r="BM21" s="58">
        <v>0.12167099373847257</v>
      </c>
      <c r="BN21" s="59"/>
      <c r="BO21" s="58">
        <v>0.65056818181818177</v>
      </c>
      <c r="BP21" s="59"/>
      <c r="BQ21" s="58">
        <v>0.69952734638757619</v>
      </c>
      <c r="BR21" s="2"/>
      <c r="BS21" s="58">
        <v>0.56229508196721312</v>
      </c>
      <c r="BT21" s="2">
        <v>262</v>
      </c>
      <c r="BU21" s="58">
        <v>0.9315589353612167</v>
      </c>
      <c r="BV21" s="69" t="s">
        <v>116</v>
      </c>
      <c r="BW21" s="63"/>
    </row>
    <row r="22" spans="1:75" x14ac:dyDescent="0.45">
      <c r="A22" s="56" t="s">
        <v>117</v>
      </c>
      <c r="B22" s="57"/>
      <c r="C22" s="58">
        <v>0.30682676305853296</v>
      </c>
      <c r="D22" s="57"/>
      <c r="E22" s="58">
        <v>0.71052631578947378</v>
      </c>
      <c r="F22" s="59"/>
      <c r="G22" s="58">
        <v>0.18627450980392157</v>
      </c>
      <c r="H22" s="59"/>
      <c r="I22" s="58">
        <v>-3.9215686274509769E-2</v>
      </c>
      <c r="J22" s="60"/>
      <c r="K22" s="58">
        <v>0.15936358786251389</v>
      </c>
      <c r="L22" s="57"/>
      <c r="M22" s="58">
        <v>0.29268292682926833</v>
      </c>
      <c r="N22" s="61"/>
      <c r="O22" s="58">
        <v>7.1672354948805458E-2</v>
      </c>
      <c r="P22" s="62"/>
      <c r="Q22" s="63">
        <v>0.34426229508196721</v>
      </c>
      <c r="R22" s="2"/>
      <c r="S22" s="58">
        <v>5.9633027522935783E-2</v>
      </c>
      <c r="T22" s="64"/>
      <c r="U22" s="63">
        <v>0.54580152671755722</v>
      </c>
      <c r="V22" s="57"/>
      <c r="W22" s="58">
        <v>0.84999999999999987</v>
      </c>
      <c r="X22" s="57"/>
      <c r="Y22" s="58">
        <v>0.56249999999999922</v>
      </c>
      <c r="Z22" s="65"/>
      <c r="AA22" s="58">
        <v>0.48292007257261799</v>
      </c>
      <c r="AB22" s="66"/>
      <c r="AC22" s="58">
        <v>0.79433020982645197</v>
      </c>
      <c r="AD22" s="59"/>
      <c r="AE22" s="58">
        <v>0.45971563981042679</v>
      </c>
      <c r="AF22" s="59"/>
      <c r="AG22" s="58">
        <v>0.57236024844720501</v>
      </c>
      <c r="AH22" s="67"/>
      <c r="AI22" s="58">
        <v>0.42479521448588026</v>
      </c>
      <c r="AJ22" s="59"/>
      <c r="AK22" s="58">
        <v>1</v>
      </c>
      <c r="AL22" s="59"/>
      <c r="AM22" s="58">
        <v>0.64085083174256507</v>
      </c>
      <c r="AN22" s="59"/>
      <c r="AO22" s="58">
        <v>0.39978331527627303</v>
      </c>
      <c r="AP22" s="59">
        <v>87</v>
      </c>
      <c r="AQ22" s="58">
        <v>0.42342342342342337</v>
      </c>
      <c r="AR22" s="59">
        <v>78.900000000000006</v>
      </c>
      <c r="AS22" s="58">
        <v>0.28333333333333383</v>
      </c>
      <c r="AT22" s="57"/>
      <c r="AU22" s="58">
        <v>0.39386697032682499</v>
      </c>
      <c r="AV22" s="59"/>
      <c r="AW22" s="58">
        <v>0.64757070340826695</v>
      </c>
      <c r="AX22" s="57"/>
      <c r="AY22" s="58">
        <v>0.32806887935465151</v>
      </c>
      <c r="AZ22" s="59"/>
      <c r="BA22" s="58">
        <v>0.40028188865398179</v>
      </c>
      <c r="BB22" s="59"/>
      <c r="BC22" s="58">
        <v>0.29807692307692302</v>
      </c>
      <c r="BD22" s="59"/>
      <c r="BE22" s="58">
        <v>0.41058888785703873</v>
      </c>
      <c r="BF22" s="59"/>
      <c r="BG22" s="58">
        <v>0.31467895379190436</v>
      </c>
      <c r="BH22" s="68"/>
      <c r="BI22" s="58">
        <v>9.7345132743362831E-2</v>
      </c>
      <c r="BJ22" s="68"/>
      <c r="BK22" s="58">
        <v>0.11188811188811189</v>
      </c>
      <c r="BL22" s="68"/>
      <c r="BM22" s="58">
        <v>0.70658928844143176</v>
      </c>
      <c r="BN22" s="59"/>
      <c r="BO22" s="58">
        <v>0.39204545454545447</v>
      </c>
      <c r="BP22" s="59"/>
      <c r="BQ22" s="58">
        <v>0.37137069547602974</v>
      </c>
      <c r="BR22" s="2"/>
      <c r="BS22" s="58">
        <v>0.11967213114754098</v>
      </c>
      <c r="BT22" s="2">
        <v>29</v>
      </c>
      <c r="BU22" s="58">
        <v>4.5627376425855515E-2</v>
      </c>
      <c r="BV22" s="64">
        <v>29</v>
      </c>
      <c r="BW22" s="63">
        <v>0.16250000000000001</v>
      </c>
    </row>
    <row r="23" spans="1:75" x14ac:dyDescent="0.45">
      <c r="A23" s="56" t="s">
        <v>118</v>
      </c>
      <c r="B23" s="57"/>
      <c r="C23" s="58">
        <v>0.30972150147033378</v>
      </c>
      <c r="D23" s="57"/>
      <c r="E23" s="58">
        <v>0.4210526315789474</v>
      </c>
      <c r="F23" s="59"/>
      <c r="G23" s="58">
        <v>0.39215686274509798</v>
      </c>
      <c r="H23" s="59"/>
      <c r="I23" s="58">
        <v>-0.15980392156862738</v>
      </c>
      <c r="J23" s="60"/>
      <c r="K23" s="58">
        <v>0.99547063703246741</v>
      </c>
      <c r="L23" s="57"/>
      <c r="M23" s="58">
        <v>0.35121951219512187</v>
      </c>
      <c r="N23" s="61"/>
      <c r="O23" s="58">
        <v>0.69283276450511944</v>
      </c>
      <c r="P23" s="62" t="s">
        <v>105</v>
      </c>
      <c r="Q23" s="63"/>
      <c r="R23" s="2"/>
      <c r="S23" s="58">
        <v>0.86447039199332776</v>
      </c>
      <c r="T23" s="69" t="s">
        <v>105</v>
      </c>
      <c r="U23" s="70"/>
      <c r="V23" s="57"/>
      <c r="W23" s="58">
        <v>0.76818181818181841</v>
      </c>
      <c r="X23" s="57"/>
      <c r="Y23" s="58">
        <v>0.89062499999999978</v>
      </c>
      <c r="Z23" s="65"/>
      <c r="AA23" s="58">
        <v>0.38006406101764861</v>
      </c>
      <c r="AB23" s="66"/>
      <c r="AC23" s="58">
        <v>0.7189189990952104</v>
      </c>
      <c r="AD23" s="59"/>
      <c r="AE23" s="58">
        <v>0.83886255924170605</v>
      </c>
      <c r="AF23" s="59"/>
      <c r="AG23" s="58">
        <v>0.70838509316770193</v>
      </c>
      <c r="AH23" s="59"/>
      <c r="AI23" s="58">
        <v>0.47121395526224102</v>
      </c>
      <c r="AJ23" s="59"/>
      <c r="AK23" s="58">
        <v>0.75002471248880942</v>
      </c>
      <c r="AL23" s="59"/>
      <c r="AM23" s="58">
        <v>0.32013323464100535</v>
      </c>
      <c r="AN23" s="59"/>
      <c r="AO23" s="58">
        <v>0.49629135761313115</v>
      </c>
      <c r="AP23" s="59">
        <v>89.5</v>
      </c>
      <c r="AQ23" s="58">
        <v>0.64864864864864835</v>
      </c>
      <c r="AR23" s="59">
        <v>84.5</v>
      </c>
      <c r="AS23" s="58">
        <v>0.75</v>
      </c>
      <c r="AT23" s="57"/>
      <c r="AU23" s="58">
        <v>0.12143750812958869</v>
      </c>
      <c r="AV23" s="59"/>
      <c r="AW23" s="58">
        <v>2.0304568527918763E-2</v>
      </c>
      <c r="AX23" s="57"/>
      <c r="AY23" s="58">
        <v>0.13117405586467448</v>
      </c>
      <c r="AZ23" s="59"/>
      <c r="BA23" s="58">
        <v>0.14587737843551796</v>
      </c>
      <c r="BB23" s="59"/>
      <c r="BC23" s="58">
        <v>7.9326923076923017E-2</v>
      </c>
      <c r="BD23" s="59"/>
      <c r="BE23" s="58">
        <v>0.2639422994509974</v>
      </c>
      <c r="BF23" s="59"/>
      <c r="BG23" s="58">
        <v>0.21028026033389383</v>
      </c>
      <c r="BH23" s="68"/>
      <c r="BI23" s="58">
        <v>0.33185840707964603</v>
      </c>
      <c r="BJ23" s="68"/>
      <c r="BK23" s="58">
        <v>0</v>
      </c>
      <c r="BL23" s="68"/>
      <c r="BM23" s="58">
        <v>0.22563819414259365</v>
      </c>
      <c r="BN23" s="59"/>
      <c r="BO23" s="58">
        <v>0.9460227272727274</v>
      </c>
      <c r="BP23" s="59"/>
      <c r="BQ23" s="58">
        <v>1</v>
      </c>
      <c r="BR23" s="2"/>
      <c r="BS23" s="58">
        <v>1</v>
      </c>
      <c r="BT23" s="2">
        <v>280</v>
      </c>
      <c r="BU23" s="58">
        <v>1</v>
      </c>
      <c r="BV23" s="64" t="s">
        <v>116</v>
      </c>
      <c r="BW23" s="63"/>
    </row>
    <row r="24" spans="1:75" x14ac:dyDescent="0.45">
      <c r="A24" s="71" t="s">
        <v>119</v>
      </c>
      <c r="B24" s="72"/>
      <c r="C24" s="73">
        <v>0.91490035651945345</v>
      </c>
      <c r="D24" s="72"/>
      <c r="E24" s="73">
        <v>1</v>
      </c>
      <c r="F24" s="74"/>
      <c r="G24" s="73">
        <v>9.8039215686274453E-2</v>
      </c>
      <c r="H24" s="74"/>
      <c r="I24" s="73">
        <v>0.34607843137254896</v>
      </c>
      <c r="J24" s="75"/>
      <c r="K24" s="73">
        <v>0.28314772009649825</v>
      </c>
      <c r="L24" s="72"/>
      <c r="M24" s="73">
        <v>0.224390243902439</v>
      </c>
      <c r="N24" s="76"/>
      <c r="O24" s="73">
        <v>5.8020477815699661E-2</v>
      </c>
      <c r="P24" s="77"/>
      <c r="Q24" s="78">
        <v>0.27868852459016391</v>
      </c>
      <c r="R24" s="79"/>
      <c r="S24" s="73">
        <v>7.2560467055879901E-2</v>
      </c>
      <c r="T24" s="80"/>
      <c r="U24" s="78">
        <v>0.66412213740458015</v>
      </c>
      <c r="V24" s="72"/>
      <c r="W24" s="73">
        <v>0.15909090909090925</v>
      </c>
      <c r="X24" s="72"/>
      <c r="Y24" s="73">
        <v>0.51562499999999911</v>
      </c>
      <c r="Z24" s="81"/>
      <c r="AA24" s="73">
        <v>0.13928871027526823</v>
      </c>
      <c r="AB24" s="82"/>
      <c r="AC24" s="73">
        <v>0.28736504922045203</v>
      </c>
      <c r="AD24" s="74"/>
      <c r="AE24" s="73">
        <v>0.43601895734597179</v>
      </c>
      <c r="AF24" s="74"/>
      <c r="AG24" s="73">
        <v>0.81677018633540388</v>
      </c>
      <c r="AH24" s="83"/>
      <c r="AI24" s="73">
        <v>0.26092315913155112</v>
      </c>
      <c r="AJ24" s="74"/>
      <c r="AK24" s="73">
        <v>0.41495147917700681</v>
      </c>
      <c r="AL24" s="74"/>
      <c r="AM24" s="73">
        <v>0.11394572758408296</v>
      </c>
      <c r="AN24" s="74"/>
      <c r="AO24" s="73">
        <v>0.37484931256008236</v>
      </c>
      <c r="AP24" s="74">
        <v>82.3</v>
      </c>
      <c r="AQ24" s="73">
        <v>0</v>
      </c>
      <c r="AR24" s="74">
        <v>75.5</v>
      </c>
      <c r="AS24" s="73">
        <v>0</v>
      </c>
      <c r="AT24" s="72"/>
      <c r="AU24" s="73">
        <v>0.68476765636812664</v>
      </c>
      <c r="AV24" s="74"/>
      <c r="AW24" s="73">
        <v>0.85823060188542455</v>
      </c>
      <c r="AX24" s="72"/>
      <c r="AY24" s="73">
        <v>0.69608518347620985</v>
      </c>
      <c r="AZ24" s="74"/>
      <c r="BA24" s="73">
        <v>0.74559548978153634</v>
      </c>
      <c r="BB24" s="74"/>
      <c r="BC24" s="73">
        <v>0.79447115384615374</v>
      </c>
      <c r="BD24" s="74"/>
      <c r="BE24" s="73">
        <v>0.60103364713847918</v>
      </c>
      <c r="BF24" s="74"/>
      <c r="BG24" s="73">
        <v>1</v>
      </c>
      <c r="BH24" s="84"/>
      <c r="BI24" s="73">
        <v>0.87168141592920356</v>
      </c>
      <c r="BJ24" s="84"/>
      <c r="BK24" s="73">
        <v>0.95804195804195802</v>
      </c>
      <c r="BL24" s="84"/>
      <c r="BM24" s="73">
        <v>0.45639838821470108</v>
      </c>
      <c r="BN24" s="74"/>
      <c r="BO24" s="73">
        <v>0.14772727272727285</v>
      </c>
      <c r="BP24" s="74"/>
      <c r="BQ24" s="73">
        <v>0.17218095881161383</v>
      </c>
      <c r="BR24" s="79"/>
      <c r="BS24" s="73">
        <v>0.10273224043715846</v>
      </c>
      <c r="BT24" s="79">
        <v>57</v>
      </c>
      <c r="BU24" s="73">
        <v>0.15209125475285171</v>
      </c>
      <c r="BV24" s="80">
        <v>57</v>
      </c>
      <c r="BW24" s="78">
        <v>0.51249999999999996</v>
      </c>
    </row>
    <row r="25" spans="1:75" s="92" customFormat="1" x14ac:dyDescent="0.45">
      <c r="A25" s="85" t="s">
        <v>0</v>
      </c>
      <c r="B25" s="86"/>
      <c r="C25" s="87">
        <v>0.41185637335809561</v>
      </c>
      <c r="D25" s="86"/>
      <c r="E25" s="87">
        <v>0.5299707602339182</v>
      </c>
      <c r="F25" s="86"/>
      <c r="G25" s="87">
        <v>0.21405228758169931</v>
      </c>
      <c r="H25" s="86"/>
      <c r="I25" s="87">
        <v>0.37127976190476186</v>
      </c>
      <c r="J25" s="86"/>
      <c r="K25" s="87">
        <v>0.31229897534861151</v>
      </c>
      <c r="L25" s="86"/>
      <c r="M25" s="87">
        <v>0.34119241192411914</v>
      </c>
      <c r="N25" s="86"/>
      <c r="O25" s="87">
        <v>0.15054986727341677</v>
      </c>
      <c r="P25" s="86"/>
      <c r="Q25" s="87">
        <v>0.30532786885245899</v>
      </c>
      <c r="R25" s="88"/>
      <c r="S25" s="87">
        <v>0.15707534056157907</v>
      </c>
      <c r="T25" s="88"/>
      <c r="U25" s="87">
        <v>0.4580152671755725</v>
      </c>
      <c r="V25" s="89"/>
      <c r="W25" s="87">
        <v>0.49343434343434334</v>
      </c>
      <c r="X25" s="89"/>
      <c r="Y25" s="87">
        <v>0.7335069444444452</v>
      </c>
      <c r="Z25" s="90"/>
      <c r="AA25" s="87">
        <v>0.35311529891765309</v>
      </c>
      <c r="AB25" s="91"/>
      <c r="AC25" s="87">
        <v>0.52808035077227289</v>
      </c>
      <c r="AD25" s="89"/>
      <c r="AE25" s="87">
        <v>0.55581885202738279</v>
      </c>
      <c r="AF25" s="89"/>
      <c r="AG25" s="87">
        <v>0.59941338854382342</v>
      </c>
      <c r="AH25" s="89"/>
      <c r="AI25" s="87">
        <v>0.44445614196660105</v>
      </c>
      <c r="AJ25" s="89"/>
      <c r="AK25" s="87">
        <v>0.43251551974574687</v>
      </c>
      <c r="AL25" s="89"/>
      <c r="AM25" s="87">
        <v>0.32368050635450846</v>
      </c>
      <c r="AN25" s="89"/>
      <c r="AO25" s="87">
        <v>0.4341410144050169</v>
      </c>
      <c r="AP25" s="89">
        <v>86.766666666666666</v>
      </c>
      <c r="AQ25" s="87">
        <v>0.40240240240240227</v>
      </c>
      <c r="AR25" s="89">
        <v>81.88333333333334</v>
      </c>
      <c r="AS25" s="87">
        <v>0.531944444444445</v>
      </c>
      <c r="AT25" s="89"/>
      <c r="AU25" s="87">
        <v>0.3683887484234285</v>
      </c>
      <c r="AV25" s="89"/>
      <c r="AW25" s="87">
        <v>0.50912496978486832</v>
      </c>
      <c r="AX25" s="89"/>
      <c r="AY25" s="87">
        <v>0.32542297675861276</v>
      </c>
      <c r="AZ25" s="89"/>
      <c r="BA25" s="87">
        <v>0.35161694464020038</v>
      </c>
      <c r="BB25" s="89"/>
      <c r="BC25" s="87">
        <v>0.31189903846153838</v>
      </c>
      <c r="BD25" s="90"/>
      <c r="BE25" s="87">
        <v>0.46504550112362708</v>
      </c>
      <c r="BF25" s="90"/>
      <c r="BG25" s="87">
        <v>0.41064432838475473</v>
      </c>
      <c r="BH25" s="88"/>
      <c r="BI25" s="87">
        <v>0.35717797443461163</v>
      </c>
      <c r="BJ25" s="88"/>
      <c r="BK25" s="87">
        <v>0.34731934731934733</v>
      </c>
      <c r="BL25" s="88"/>
      <c r="BM25" s="87">
        <v>0.48126958766856326</v>
      </c>
      <c r="BN25" s="89"/>
      <c r="BO25" s="87">
        <v>0.36773989898989917</v>
      </c>
      <c r="BP25" s="89"/>
      <c r="BQ25" s="87">
        <v>-1.1688048615800135</v>
      </c>
      <c r="BR25" s="90"/>
      <c r="BS25" s="87">
        <v>0.18843351548269582</v>
      </c>
      <c r="BT25" s="90">
        <v>73.222222222222229</v>
      </c>
      <c r="BU25" s="87">
        <v>0.21377270806928603</v>
      </c>
      <c r="BV25" s="89">
        <v>48.125</v>
      </c>
      <c r="BW25" s="87">
        <v>0.40156249999999999</v>
      </c>
    </row>
    <row r="26" spans="1:75" x14ac:dyDescent="0.45">
      <c r="B26" s="93" t="s">
        <v>120</v>
      </c>
      <c r="C26" s="58">
        <v>0.11787439613526569</v>
      </c>
      <c r="D26" s="93" t="s">
        <v>120</v>
      </c>
      <c r="E26" s="58">
        <v>1.4999999999999999E-2</v>
      </c>
      <c r="F26" s="93" t="s">
        <v>120</v>
      </c>
      <c r="G26" s="58">
        <v>6.2E-2</v>
      </c>
      <c r="H26" s="93" t="s">
        <v>120</v>
      </c>
      <c r="I26" s="58">
        <v>2.23E-2</v>
      </c>
      <c r="J26" s="94" t="s">
        <v>120</v>
      </c>
      <c r="K26" s="58">
        <v>8.0518282246453197</v>
      </c>
      <c r="L26" s="93" t="s">
        <v>120</v>
      </c>
      <c r="M26" s="58">
        <v>7.4999999999999997E-2</v>
      </c>
      <c r="N26" s="93" t="s">
        <v>120</v>
      </c>
      <c r="O26" s="95">
        <v>6</v>
      </c>
      <c r="P26" s="96" t="s">
        <v>120</v>
      </c>
      <c r="Q26" s="97">
        <v>6</v>
      </c>
      <c r="R26" s="93" t="s">
        <v>120</v>
      </c>
      <c r="S26" s="95">
        <v>139</v>
      </c>
      <c r="T26" s="98" t="s">
        <v>120</v>
      </c>
      <c r="U26" s="99">
        <v>139</v>
      </c>
      <c r="V26" s="100" t="s">
        <v>120</v>
      </c>
      <c r="W26" s="101">
        <v>0.627</v>
      </c>
      <c r="X26" s="93" t="s">
        <v>120</v>
      </c>
      <c r="Y26" s="101">
        <v>0.93600000000000005</v>
      </c>
      <c r="Z26" s="93" t="s">
        <v>120</v>
      </c>
      <c r="AA26" s="101">
        <v>48.975806451612897</v>
      </c>
      <c r="AB26" s="94" t="s">
        <v>120</v>
      </c>
      <c r="AC26" s="101">
        <v>7.6304878048780403E-2</v>
      </c>
      <c r="AD26" s="93" t="s">
        <v>120</v>
      </c>
      <c r="AE26" s="101">
        <v>0.57299999999999995</v>
      </c>
      <c r="AF26" s="93" t="s">
        <v>120</v>
      </c>
      <c r="AG26" s="101">
        <v>0.1757</v>
      </c>
      <c r="AH26" s="93" t="s">
        <v>120</v>
      </c>
      <c r="AI26" s="101">
        <v>-0.39599999999999902</v>
      </c>
      <c r="AJ26" s="93" t="s">
        <v>120</v>
      </c>
      <c r="AK26" s="101">
        <v>0.21579999999999999</v>
      </c>
      <c r="AL26" s="93" t="s">
        <v>120</v>
      </c>
      <c r="AM26" s="101">
        <v>52.5</v>
      </c>
      <c r="AN26" s="93" t="s">
        <v>120</v>
      </c>
      <c r="AO26" s="101">
        <v>39.625</v>
      </c>
      <c r="AP26" s="93" t="s">
        <v>120</v>
      </c>
      <c r="AQ26" s="101">
        <v>82.3</v>
      </c>
      <c r="AR26" s="93" t="s">
        <v>120</v>
      </c>
      <c r="AS26" s="101">
        <v>75.5</v>
      </c>
      <c r="AT26" s="93" t="s">
        <v>120</v>
      </c>
      <c r="AU26" s="101">
        <v>0.10395584176632934</v>
      </c>
      <c r="AV26" s="93" t="s">
        <v>120</v>
      </c>
      <c r="AW26" s="101">
        <v>0.33550000000000002</v>
      </c>
      <c r="AX26" s="93" t="s">
        <v>120</v>
      </c>
      <c r="AY26" s="101">
        <v>2.2715950981368936E-2</v>
      </c>
      <c r="AZ26" s="93" t="s">
        <v>120</v>
      </c>
      <c r="BA26" s="101">
        <v>0.1258</v>
      </c>
      <c r="BB26" s="93" t="s">
        <v>120</v>
      </c>
      <c r="BC26" s="101">
        <v>3.2300000000000002E-2</v>
      </c>
      <c r="BD26" s="93" t="s">
        <v>120</v>
      </c>
      <c r="BE26" s="101">
        <v>5.1839933091518103E-2</v>
      </c>
      <c r="BF26" s="93" t="s">
        <v>120</v>
      </c>
      <c r="BG26" s="101">
        <v>2.0272977988741302E-2</v>
      </c>
      <c r="BH26" s="93" t="s">
        <v>120</v>
      </c>
      <c r="BI26" s="58">
        <v>1</v>
      </c>
      <c r="BJ26" s="93" t="s">
        <v>120</v>
      </c>
      <c r="BK26" s="58">
        <v>1</v>
      </c>
      <c r="BL26" s="93" t="s">
        <v>120</v>
      </c>
      <c r="BM26" s="101">
        <v>22511</v>
      </c>
      <c r="BN26" s="93" t="s">
        <v>120</v>
      </c>
      <c r="BO26" s="101">
        <v>6.72</v>
      </c>
      <c r="BP26" s="93" t="s">
        <v>120</v>
      </c>
      <c r="BQ26" s="101">
        <v>17.309999999999999</v>
      </c>
      <c r="BR26" s="93" t="s">
        <v>120</v>
      </c>
      <c r="BS26" s="95">
        <v>322</v>
      </c>
      <c r="BT26" s="93" t="s">
        <v>120</v>
      </c>
      <c r="BU26" s="95">
        <v>17</v>
      </c>
      <c r="BV26" s="98" t="s">
        <v>120</v>
      </c>
      <c r="BW26" s="97">
        <v>16</v>
      </c>
    </row>
    <row r="27" spans="1:75" x14ac:dyDescent="0.45">
      <c r="B27" s="93" t="s">
        <v>121</v>
      </c>
      <c r="C27" s="58">
        <v>0.58333333333333337</v>
      </c>
      <c r="D27" s="93" t="s">
        <v>121</v>
      </c>
      <c r="E27" s="58">
        <v>9.0999999999999998E-2</v>
      </c>
      <c r="F27" s="93" t="s">
        <v>121</v>
      </c>
      <c r="G27" s="58">
        <v>0.16400000000000001</v>
      </c>
      <c r="H27" s="93" t="s">
        <v>121</v>
      </c>
      <c r="I27" s="58">
        <v>0.11190000000000001</v>
      </c>
      <c r="J27" s="94" t="s">
        <v>121</v>
      </c>
      <c r="K27" s="58">
        <v>14.806533755667299</v>
      </c>
      <c r="L27" s="93" t="s">
        <v>121</v>
      </c>
      <c r="M27" s="58">
        <v>0.28000000000000003</v>
      </c>
      <c r="N27" s="93" t="s">
        <v>121</v>
      </c>
      <c r="O27" s="95">
        <v>299</v>
      </c>
      <c r="P27" s="96" t="s">
        <v>121</v>
      </c>
      <c r="Q27" s="97">
        <v>67</v>
      </c>
      <c r="R27" s="93" t="s">
        <v>121</v>
      </c>
      <c r="S27" s="95">
        <v>2537</v>
      </c>
      <c r="T27" s="98" t="s">
        <v>121</v>
      </c>
      <c r="U27" s="99">
        <v>401</v>
      </c>
      <c r="V27" s="93" t="s">
        <v>121</v>
      </c>
      <c r="W27" s="101">
        <v>0.84699999999999998</v>
      </c>
      <c r="X27" s="93" t="s">
        <v>121</v>
      </c>
      <c r="Y27" s="101">
        <v>1</v>
      </c>
      <c r="Z27" s="93" t="s">
        <v>121</v>
      </c>
      <c r="AA27" s="101">
        <v>64.875</v>
      </c>
      <c r="AB27" s="94" t="s">
        <v>121</v>
      </c>
      <c r="AC27" s="101">
        <v>1.0469375000000001</v>
      </c>
      <c r="AD27" s="93" t="s">
        <v>121</v>
      </c>
      <c r="AE27" s="101">
        <v>0.78400000000000003</v>
      </c>
      <c r="AF27" s="93" t="s">
        <v>121</v>
      </c>
      <c r="AG27" s="101">
        <v>0.49769999999999998</v>
      </c>
      <c r="AH27" s="93" t="s">
        <v>121</v>
      </c>
      <c r="AI27" s="101">
        <v>1.4596</v>
      </c>
      <c r="AJ27" s="93" t="s">
        <v>121</v>
      </c>
      <c r="AK27" s="101">
        <v>1.3263157894736799</v>
      </c>
      <c r="AL27" s="93" t="s">
        <v>121</v>
      </c>
      <c r="AM27" s="101">
        <v>71.8</v>
      </c>
      <c r="AN27" s="93" t="s">
        <v>121</v>
      </c>
      <c r="AO27" s="101">
        <v>62.7</v>
      </c>
      <c r="AP27" s="93" t="s">
        <v>121</v>
      </c>
      <c r="AQ27" s="101">
        <v>93.4</v>
      </c>
      <c r="AR27" s="93" t="s">
        <v>121</v>
      </c>
      <c r="AS27" s="101">
        <v>87.5</v>
      </c>
      <c r="AT27" s="93" t="s">
        <v>121</v>
      </c>
      <c r="AU27" s="101">
        <v>0.20879326473339568</v>
      </c>
      <c r="AV27" s="93" t="s">
        <v>121</v>
      </c>
      <c r="AW27" s="101">
        <v>0.61129999999999995</v>
      </c>
      <c r="AX27" s="93" t="s">
        <v>121</v>
      </c>
      <c r="AY27" s="101">
        <v>6.3591433278418458E-2</v>
      </c>
      <c r="AZ27" s="93" t="s">
        <v>121</v>
      </c>
      <c r="BA27" s="101">
        <v>0.26769999999999999</v>
      </c>
      <c r="BB27" s="93" t="s">
        <v>121</v>
      </c>
      <c r="BC27" s="101">
        <v>0.11550000000000001</v>
      </c>
      <c r="BD27" s="93" t="s">
        <v>121</v>
      </c>
      <c r="BE27" s="101">
        <v>0.31190714205807624</v>
      </c>
      <c r="BF27" s="93" t="s">
        <v>121</v>
      </c>
      <c r="BG27" s="101">
        <v>0.13796072018424649</v>
      </c>
      <c r="BH27" s="93" t="s">
        <v>121</v>
      </c>
      <c r="BI27" s="101">
        <v>227</v>
      </c>
      <c r="BJ27" s="93" t="s">
        <v>121</v>
      </c>
      <c r="BK27" s="101">
        <v>144</v>
      </c>
      <c r="BL27" s="93" t="s">
        <v>121</v>
      </c>
      <c r="BM27" s="101">
        <v>107634</v>
      </c>
      <c r="BN27" s="93" t="s">
        <v>121</v>
      </c>
      <c r="BO27" s="101">
        <v>10.24</v>
      </c>
      <c r="BP27" s="93" t="s">
        <v>121</v>
      </c>
      <c r="BQ27" s="101">
        <v>32.119999999999997</v>
      </c>
      <c r="BR27" s="93" t="s">
        <v>121</v>
      </c>
      <c r="BS27" s="95">
        <v>2152</v>
      </c>
      <c r="BT27" s="93" t="s">
        <v>121</v>
      </c>
      <c r="BU27" s="95">
        <v>280</v>
      </c>
      <c r="BV27" s="98" t="s">
        <v>121</v>
      </c>
      <c r="BW27" s="97">
        <v>96</v>
      </c>
    </row>
    <row r="28" spans="1:75" x14ac:dyDescent="0.45">
      <c r="B28" s="102" t="s">
        <v>122</v>
      </c>
      <c r="C28" s="73">
        <v>0.46545893719806769</v>
      </c>
      <c r="D28" s="102" t="s">
        <v>122</v>
      </c>
      <c r="E28" s="73">
        <v>7.5999999999999998E-2</v>
      </c>
      <c r="F28" s="102" t="s">
        <v>122</v>
      </c>
      <c r="G28" s="73">
        <v>0.10200000000000001</v>
      </c>
      <c r="H28" s="102" t="s">
        <v>122</v>
      </c>
      <c r="I28" s="73">
        <v>8.9600000000000013E-2</v>
      </c>
      <c r="J28" s="103" t="s">
        <v>122</v>
      </c>
      <c r="K28" s="73">
        <v>6.7547055310219797</v>
      </c>
      <c r="L28" s="102" t="s">
        <v>122</v>
      </c>
      <c r="M28" s="73">
        <v>0.20500000000000002</v>
      </c>
      <c r="N28" s="102" t="s">
        <v>122</v>
      </c>
      <c r="O28" s="104">
        <v>293</v>
      </c>
      <c r="P28" s="105" t="s">
        <v>122</v>
      </c>
      <c r="Q28" s="106">
        <v>61</v>
      </c>
      <c r="R28" s="102" t="s">
        <v>122</v>
      </c>
      <c r="S28" s="104">
        <v>2398</v>
      </c>
      <c r="T28" s="102" t="s">
        <v>122</v>
      </c>
      <c r="U28" s="107">
        <v>262</v>
      </c>
      <c r="V28" s="102" t="s">
        <v>122</v>
      </c>
      <c r="W28" s="108">
        <v>0.21999999999999997</v>
      </c>
      <c r="X28" s="102" t="s">
        <v>122</v>
      </c>
      <c r="Y28" s="108">
        <v>6.3999999999999946E-2</v>
      </c>
      <c r="Z28" s="102" t="s">
        <v>122</v>
      </c>
      <c r="AA28" s="108">
        <v>15.899193548387103</v>
      </c>
      <c r="AB28" s="103" t="s">
        <v>122</v>
      </c>
      <c r="AC28" s="108">
        <v>0.97063262195121969</v>
      </c>
      <c r="AD28" s="102" t="s">
        <v>122</v>
      </c>
      <c r="AE28" s="108">
        <v>0.21100000000000008</v>
      </c>
      <c r="AF28" s="102" t="s">
        <v>122</v>
      </c>
      <c r="AG28" s="108">
        <v>0.32199999999999995</v>
      </c>
      <c r="AH28" s="102" t="s">
        <v>122</v>
      </c>
      <c r="AI28" s="108">
        <v>1.855599999999999</v>
      </c>
      <c r="AJ28" s="102" t="s">
        <v>122</v>
      </c>
      <c r="AK28" s="108">
        <v>1.1105157894736799</v>
      </c>
      <c r="AL28" s="102" t="s">
        <v>122</v>
      </c>
      <c r="AM28" s="108">
        <v>19.299999999999997</v>
      </c>
      <c r="AN28" s="102" t="s">
        <v>122</v>
      </c>
      <c r="AO28" s="108">
        <v>23.075000000000003</v>
      </c>
      <c r="AP28" s="102" t="s">
        <v>122</v>
      </c>
      <c r="AQ28" s="108">
        <v>11.100000000000009</v>
      </c>
      <c r="AR28" s="102" t="s">
        <v>122</v>
      </c>
      <c r="AS28" s="108">
        <v>12</v>
      </c>
      <c r="AT28" s="102" t="s">
        <v>122</v>
      </c>
      <c r="AU28" s="108">
        <v>0.10483742296706634</v>
      </c>
      <c r="AV28" s="102" t="s">
        <v>122</v>
      </c>
      <c r="AW28" s="108">
        <v>0.27579999999999993</v>
      </c>
      <c r="AX28" s="102" t="s">
        <v>122</v>
      </c>
      <c r="AY28" s="108">
        <v>4.0875482297049522E-2</v>
      </c>
      <c r="AZ28" s="102" t="s">
        <v>122</v>
      </c>
      <c r="BA28" s="108">
        <v>0.1419</v>
      </c>
      <c r="BB28" s="102" t="s">
        <v>122</v>
      </c>
      <c r="BC28" s="108">
        <v>8.3199999999999996E-2</v>
      </c>
      <c r="BD28" s="102" t="s">
        <v>122</v>
      </c>
      <c r="BE28" s="108">
        <v>0.26006720896655811</v>
      </c>
      <c r="BF28" s="102" t="s">
        <v>122</v>
      </c>
      <c r="BG28" s="108">
        <v>0.11768774219550518</v>
      </c>
      <c r="BH28" s="102" t="s">
        <v>122</v>
      </c>
      <c r="BI28" s="108">
        <v>226</v>
      </c>
      <c r="BJ28" s="102" t="s">
        <v>122</v>
      </c>
      <c r="BK28" s="108">
        <v>143</v>
      </c>
      <c r="BL28" s="102" t="s">
        <v>122</v>
      </c>
      <c r="BM28" s="108">
        <v>85123</v>
      </c>
      <c r="BN28" s="102" t="s">
        <v>122</v>
      </c>
      <c r="BO28" s="108">
        <v>3.5200000000000005</v>
      </c>
      <c r="BP28" s="102" t="s">
        <v>122</v>
      </c>
      <c r="BQ28" s="108">
        <v>14.809999999999999</v>
      </c>
      <c r="BR28" s="102" t="s">
        <v>122</v>
      </c>
      <c r="BS28" s="104">
        <v>1830</v>
      </c>
      <c r="BT28" s="102" t="s">
        <v>122</v>
      </c>
      <c r="BU28" s="104">
        <v>263</v>
      </c>
      <c r="BV28" s="109" t="s">
        <v>122</v>
      </c>
      <c r="BW28" s="106">
        <v>80</v>
      </c>
    </row>
  </sheetData>
  <mergeCells count="170">
    <mergeCell ref="BT1:BW1"/>
    <mergeCell ref="BT2:BW2"/>
    <mergeCell ref="BL1:BM1"/>
    <mergeCell ref="BL2:BM2"/>
    <mergeCell ref="BN1:BO1"/>
    <mergeCell ref="BN2:BO2"/>
    <mergeCell ref="BP1:BS1"/>
    <mergeCell ref="BP2:BS2"/>
    <mergeCell ref="BD1:BE1"/>
    <mergeCell ref="BD2:BE2"/>
    <mergeCell ref="BF1:BG1"/>
    <mergeCell ref="BF2:BG2"/>
    <mergeCell ref="BH1:BK1"/>
    <mergeCell ref="BH2:BI2"/>
    <mergeCell ref="BJ2:BK2"/>
    <mergeCell ref="AT1:AU1"/>
    <mergeCell ref="AT2:AU2"/>
    <mergeCell ref="AV1:AW1"/>
    <mergeCell ref="AV2:AW2"/>
    <mergeCell ref="AX1:BC1"/>
    <mergeCell ref="AX2:BC2"/>
    <mergeCell ref="AN1:AO1"/>
    <mergeCell ref="AN2:AO2"/>
    <mergeCell ref="AP2:AQ2"/>
    <mergeCell ref="AP1:AQ1"/>
    <mergeCell ref="AR1:AS1"/>
    <mergeCell ref="AR2:AS2"/>
    <mergeCell ref="AH1:AI1"/>
    <mergeCell ref="AH2:AI2"/>
    <mergeCell ref="AJ1:AK1"/>
    <mergeCell ref="AJ2:AK2"/>
    <mergeCell ref="AL1:AM1"/>
    <mergeCell ref="AL2:AM2"/>
    <mergeCell ref="Z1:AA1"/>
    <mergeCell ref="Z2:AA2"/>
    <mergeCell ref="AB1:AC1"/>
    <mergeCell ref="AB2:AC2"/>
    <mergeCell ref="AD1:AG1"/>
    <mergeCell ref="AD2:AG2"/>
    <mergeCell ref="R1:S1"/>
    <mergeCell ref="R2:S2"/>
    <mergeCell ref="T1:U1"/>
    <mergeCell ref="T2:U2"/>
    <mergeCell ref="V1:Y1"/>
    <mergeCell ref="V2:Y2"/>
    <mergeCell ref="J2:K2"/>
    <mergeCell ref="L1:M1"/>
    <mergeCell ref="L2:M2"/>
    <mergeCell ref="N1:O1"/>
    <mergeCell ref="N2:O2"/>
    <mergeCell ref="P1:Q1"/>
    <mergeCell ref="P2:Q2"/>
    <mergeCell ref="BV5:BW5"/>
    <mergeCell ref="B1:C1"/>
    <mergeCell ref="B2:C2"/>
    <mergeCell ref="D1:E1"/>
    <mergeCell ref="D2:E2"/>
    <mergeCell ref="F1:I1"/>
    <mergeCell ref="F2:I2"/>
    <mergeCell ref="J1:K1"/>
    <mergeCell ref="BJ5:BK5"/>
    <mergeCell ref="BL5:BM5"/>
    <mergeCell ref="BN5:BO5"/>
    <mergeCell ref="BP5:BQ5"/>
    <mergeCell ref="BR5:BS5"/>
    <mergeCell ref="BT5:BU5"/>
    <mergeCell ref="AX5:AY5"/>
    <mergeCell ref="AZ5:BA5"/>
    <mergeCell ref="BB5:BC5"/>
    <mergeCell ref="BD5:BE5"/>
    <mergeCell ref="BF5:BG5"/>
    <mergeCell ref="BH5:BI5"/>
    <mergeCell ref="AL5:AM5"/>
    <mergeCell ref="AN5:AO5"/>
    <mergeCell ref="AP5:AQ5"/>
    <mergeCell ref="AR5:AS5"/>
    <mergeCell ref="AT5:AU5"/>
    <mergeCell ref="AV5:AW5"/>
    <mergeCell ref="Z5:AA5"/>
    <mergeCell ref="AB5:AC5"/>
    <mergeCell ref="AD5:AE5"/>
    <mergeCell ref="AF5:AG5"/>
    <mergeCell ref="AH5:AI5"/>
    <mergeCell ref="AJ5:AK5"/>
    <mergeCell ref="N5:O5"/>
    <mergeCell ref="P5:Q5"/>
    <mergeCell ref="R5:S5"/>
    <mergeCell ref="T5:U5"/>
    <mergeCell ref="V5:W5"/>
    <mergeCell ref="X5:Y5"/>
    <mergeCell ref="BP4:BQ4"/>
    <mergeCell ref="BR4:BS4"/>
    <mergeCell ref="BT4:BU4"/>
    <mergeCell ref="BV4:BW4"/>
    <mergeCell ref="B5:C5"/>
    <mergeCell ref="D5:E5"/>
    <mergeCell ref="F5:G5"/>
    <mergeCell ref="H5:I5"/>
    <mergeCell ref="J5:K5"/>
    <mergeCell ref="L5:M5"/>
    <mergeCell ref="BD4:BE4"/>
    <mergeCell ref="BF4:BG4"/>
    <mergeCell ref="BH4:BI4"/>
    <mergeCell ref="BJ4:BK4"/>
    <mergeCell ref="BL4:BM4"/>
    <mergeCell ref="BN4:BO4"/>
    <mergeCell ref="AR4:AS4"/>
    <mergeCell ref="AT4:AU4"/>
    <mergeCell ref="AV4:AW4"/>
    <mergeCell ref="AX4:AY4"/>
    <mergeCell ref="AZ4:BA4"/>
    <mergeCell ref="BB4:BC4"/>
    <mergeCell ref="AF4:AG4"/>
    <mergeCell ref="AH4:AI4"/>
    <mergeCell ref="AJ4:AK4"/>
    <mergeCell ref="AL4:AM4"/>
    <mergeCell ref="AN4:AO4"/>
    <mergeCell ref="AP4:AQ4"/>
    <mergeCell ref="T4:U4"/>
    <mergeCell ref="V4:W4"/>
    <mergeCell ref="X4:Y4"/>
    <mergeCell ref="Z4:AA4"/>
    <mergeCell ref="AB4:AC4"/>
    <mergeCell ref="AD4:AE4"/>
    <mergeCell ref="BV3:BW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BJ3:BK3"/>
    <mergeCell ref="BL3:BM3"/>
    <mergeCell ref="BN3:BO3"/>
    <mergeCell ref="BP3:BQ3"/>
    <mergeCell ref="BR3:BS3"/>
    <mergeCell ref="BT3:BU3"/>
    <mergeCell ref="AX3:AY3"/>
    <mergeCell ref="AZ3:BA3"/>
    <mergeCell ref="BB3:BC3"/>
    <mergeCell ref="BD3:BE3"/>
    <mergeCell ref="BF3:BG3"/>
    <mergeCell ref="BH3:BI3"/>
    <mergeCell ref="AL3:AM3"/>
    <mergeCell ref="AN3:AO3"/>
    <mergeCell ref="AP3:AQ3"/>
    <mergeCell ref="AR3:AS3"/>
    <mergeCell ref="AT3:AU3"/>
    <mergeCell ref="AV3:AW3"/>
    <mergeCell ref="Z3:AA3"/>
    <mergeCell ref="AB3:AC3"/>
    <mergeCell ref="AD3:AE3"/>
    <mergeCell ref="AF3:AG3"/>
    <mergeCell ref="AH3:AI3"/>
    <mergeCell ref="AJ3:AK3"/>
    <mergeCell ref="N3:O3"/>
    <mergeCell ref="P3:Q3"/>
    <mergeCell ref="R3:S3"/>
    <mergeCell ref="T3:U3"/>
    <mergeCell ref="V3:W3"/>
    <mergeCell ref="X3:Y3"/>
    <mergeCell ref="B3:C3"/>
    <mergeCell ref="D3:E3"/>
    <mergeCell ref="F3:G3"/>
    <mergeCell ref="H3:I3"/>
    <mergeCell ref="J3:K3"/>
    <mergeCell ref="L3:M3"/>
  </mergeCells>
  <conditionalFormatting sqref="AH1">
    <cfRule type="colorScale" priority="37">
      <colorScale>
        <cfvo type="min"/>
        <cfvo type="max"/>
        <color rgb="FFFCFCFF"/>
        <color rgb="FFF8696B"/>
      </colorScale>
    </cfRule>
  </conditionalFormatting>
  <conditionalFormatting sqref="C7:C24">
    <cfRule type="colorScale" priority="30">
      <colorScale>
        <cfvo type="min"/>
        <cfvo type="max"/>
        <color rgb="FFFCFCFF"/>
        <color rgb="FFF8696B"/>
      </colorScale>
    </cfRule>
  </conditionalFormatting>
  <conditionalFormatting sqref="E7:E24">
    <cfRule type="colorScale" priority="29">
      <colorScale>
        <cfvo type="min"/>
        <cfvo type="max"/>
        <color rgb="FFFCFCFF"/>
        <color rgb="FFF8696B"/>
      </colorScale>
    </cfRule>
  </conditionalFormatting>
  <conditionalFormatting sqref="G7:G24 I7:I24">
    <cfRule type="colorScale" priority="31">
      <colorScale>
        <cfvo type="min"/>
        <cfvo type="max"/>
        <color rgb="FFFCFCFF"/>
        <color rgb="FFF8696B"/>
      </colorScale>
    </cfRule>
  </conditionalFormatting>
  <conditionalFormatting sqref="K7:K24">
    <cfRule type="colorScale" priority="28">
      <colorScale>
        <cfvo type="min"/>
        <cfvo type="max"/>
        <color rgb="FFFCFCFF"/>
        <color rgb="FFF8696B"/>
      </colorScale>
    </cfRule>
  </conditionalFormatting>
  <conditionalFormatting sqref="M7:M24">
    <cfRule type="colorScale" priority="33">
      <colorScale>
        <cfvo type="min"/>
        <cfvo type="max"/>
        <color rgb="FFFCFCFF"/>
        <color rgb="FFF8696B"/>
      </colorScale>
    </cfRule>
  </conditionalFormatting>
  <conditionalFormatting sqref="O7:O24 Q7:Q24">
    <cfRule type="colorScale" priority="32">
      <colorScale>
        <cfvo type="min"/>
        <cfvo type="max"/>
        <color rgb="FFFCFCFF"/>
        <color rgb="FFF8696B"/>
      </colorScale>
    </cfRule>
  </conditionalFormatting>
  <conditionalFormatting sqref="U7:U10 S7:S24 U12:U22 U24">
    <cfRule type="colorScale" priority="27">
      <colorScale>
        <cfvo type="min"/>
        <cfvo type="max"/>
        <color rgb="FFFCFCFF"/>
        <color rgb="FFF8696B"/>
      </colorScale>
    </cfRule>
  </conditionalFormatting>
  <conditionalFormatting sqref="U7:U10 U12:U22 U24">
    <cfRule type="colorScale" priority="26">
      <colorScale>
        <cfvo type="min"/>
        <cfvo type="max"/>
        <color rgb="FFFCFCFF"/>
        <color rgb="FFF8696B"/>
      </colorScale>
    </cfRule>
  </conditionalFormatting>
  <conditionalFormatting sqref="W7:W24">
    <cfRule type="colorScale" priority="24">
      <colorScale>
        <cfvo type="min"/>
        <cfvo type="max"/>
        <color rgb="FFF8696B"/>
        <color rgb="FFFCFCFF"/>
      </colorScale>
    </cfRule>
    <cfRule type="colorScale" priority="34">
      <colorScale>
        <cfvo type="min"/>
        <cfvo type="max"/>
        <color rgb="FFFCFCFF"/>
        <color rgb="FFF8696B"/>
      </colorScale>
    </cfRule>
  </conditionalFormatting>
  <conditionalFormatting sqref="Y7:Y24">
    <cfRule type="colorScale" priority="12">
      <colorScale>
        <cfvo type="min"/>
        <cfvo type="max"/>
        <color rgb="FFF8696B"/>
        <color rgb="FFFCFCFF"/>
      </colorScale>
    </cfRule>
  </conditionalFormatting>
  <conditionalFormatting sqref="AA7:AA24">
    <cfRule type="colorScale" priority="23">
      <colorScale>
        <cfvo type="min"/>
        <cfvo type="max"/>
        <color rgb="FFF8696B"/>
        <color rgb="FFFCFCFF"/>
      </colorScale>
    </cfRule>
  </conditionalFormatting>
  <conditionalFormatting sqref="AC7:AC24">
    <cfRule type="colorScale" priority="22">
      <colorScale>
        <cfvo type="min"/>
        <cfvo type="max"/>
        <color rgb="FFF8696B"/>
        <color rgb="FFFCFCFF"/>
      </colorScale>
    </cfRule>
  </conditionalFormatting>
  <conditionalFormatting sqref="AE7:AE24">
    <cfRule type="colorScale" priority="25">
      <colorScale>
        <cfvo type="min"/>
        <cfvo type="max"/>
        <color rgb="FFF8696B"/>
        <color rgb="FFFCFCFF"/>
      </colorScale>
    </cfRule>
  </conditionalFormatting>
  <conditionalFormatting sqref="AG7:AG24">
    <cfRule type="colorScale" priority="11">
      <colorScale>
        <cfvo type="min"/>
        <cfvo type="max"/>
        <color rgb="FFFCFCFF"/>
        <color rgb="FFF8696B"/>
      </colorScale>
    </cfRule>
  </conditionalFormatting>
  <conditionalFormatting sqref="AI7:AI24">
    <cfRule type="colorScale" priority="21">
      <colorScale>
        <cfvo type="min"/>
        <cfvo type="max"/>
        <color rgb="FFF8696B"/>
        <color rgb="FFFCFCFF"/>
      </colorScale>
    </cfRule>
  </conditionalFormatting>
  <conditionalFormatting sqref="AK7:AK24">
    <cfRule type="colorScale" priority="17">
      <colorScale>
        <cfvo type="min"/>
        <cfvo type="max"/>
        <color rgb="FFF8696B"/>
        <color rgb="FFFCFCFF"/>
      </colorScale>
    </cfRule>
  </conditionalFormatting>
  <conditionalFormatting sqref="AM7:AM24">
    <cfRule type="colorScale" priority="18">
      <colorScale>
        <cfvo type="min"/>
        <cfvo type="max"/>
        <color rgb="FFF8696B"/>
        <color rgb="FFFCFCFF"/>
      </colorScale>
    </cfRule>
  </conditionalFormatting>
  <conditionalFormatting sqref="AO7:AO24">
    <cfRule type="colorScale" priority="20">
      <colorScale>
        <cfvo type="min"/>
        <cfvo type="max"/>
        <color rgb="FFF8696B"/>
        <color rgb="FFFCFCFF"/>
      </colorScale>
    </cfRule>
  </conditionalFormatting>
  <conditionalFormatting sqref="AQ7:AQ24">
    <cfRule type="colorScale" priority="6">
      <colorScale>
        <cfvo type="min"/>
        <cfvo type="max"/>
        <color rgb="FFF8696B"/>
        <color rgb="FFFCFCFF"/>
      </colorScale>
    </cfRule>
  </conditionalFormatting>
  <conditionalFormatting sqref="AS7:AS24">
    <cfRule type="colorScale" priority="7">
      <colorScale>
        <cfvo type="min"/>
        <cfvo type="max"/>
        <color rgb="FFF8696B"/>
        <color rgb="FFFCFCFF"/>
      </colorScale>
    </cfRule>
  </conditionalFormatting>
  <conditionalFormatting sqref="AU7:AU24">
    <cfRule type="colorScale" priority="19">
      <colorScale>
        <cfvo type="min"/>
        <cfvo type="max"/>
        <color rgb="FFFCFCFF"/>
        <color rgb="FFF8696B"/>
      </colorScale>
    </cfRule>
  </conditionalFormatting>
  <conditionalFormatting sqref="AW7:AW24">
    <cfRule type="colorScale" priority="15">
      <colorScale>
        <cfvo type="min"/>
        <cfvo type="max"/>
        <color rgb="FFF8696B"/>
        <color rgb="FFFCFCFF"/>
      </colorScale>
    </cfRule>
  </conditionalFormatting>
  <conditionalFormatting sqref="AY7:AY24">
    <cfRule type="colorScale" priority="35">
      <colorScale>
        <cfvo type="min"/>
        <cfvo type="max"/>
        <color rgb="FFFCFCFF"/>
        <color rgb="FFF8696B"/>
      </colorScale>
    </cfRule>
  </conditionalFormatting>
  <conditionalFormatting sqref="BA7:BA24">
    <cfRule type="colorScale" priority="5">
      <colorScale>
        <cfvo type="min"/>
        <cfvo type="max"/>
        <color rgb="FFFCFCFF"/>
        <color rgb="FFF8696B"/>
      </colorScale>
    </cfRule>
  </conditionalFormatting>
  <conditionalFormatting sqref="BC7:BC24">
    <cfRule type="colorScale" priority="4">
      <colorScale>
        <cfvo type="min"/>
        <cfvo type="max"/>
        <color rgb="FFFCFCFF"/>
        <color rgb="FFF8696B"/>
      </colorScale>
    </cfRule>
  </conditionalFormatting>
  <conditionalFormatting sqref="BE7:BE24">
    <cfRule type="colorScale" priority="16">
      <colorScale>
        <cfvo type="min"/>
        <cfvo type="max"/>
        <color rgb="FFFCFCFF"/>
        <color rgb="FFF8696B"/>
      </colorScale>
    </cfRule>
  </conditionalFormatting>
  <conditionalFormatting sqref="BG7:BG24">
    <cfRule type="colorScale" priority="14">
      <colorScale>
        <cfvo type="min"/>
        <cfvo type="max"/>
        <color rgb="FFFCFCFF"/>
        <color rgb="FFF8696B"/>
      </colorScale>
    </cfRule>
  </conditionalFormatting>
  <conditionalFormatting sqref="BI7:BI24">
    <cfRule type="colorScale" priority="10">
      <colorScale>
        <cfvo type="min"/>
        <cfvo type="max"/>
        <color rgb="FFFCFCFF"/>
        <color rgb="FFF8696B"/>
      </colorScale>
    </cfRule>
  </conditionalFormatting>
  <conditionalFormatting sqref="BK7:BK24">
    <cfRule type="colorScale" priority="3">
      <colorScale>
        <cfvo type="min"/>
        <cfvo type="max"/>
        <color rgb="FFFCFCFF"/>
        <color rgb="FFF8696B"/>
      </colorScale>
    </cfRule>
  </conditionalFormatting>
  <conditionalFormatting sqref="BM7:BM24">
    <cfRule type="colorScale" priority="13">
      <colorScale>
        <cfvo type="min"/>
        <cfvo type="max"/>
        <color rgb="FFF8696B"/>
        <color rgb="FFFCFCFF"/>
      </colorScale>
    </cfRule>
  </conditionalFormatting>
  <conditionalFormatting sqref="BO7:BO24">
    <cfRule type="colorScale" priority="2">
      <colorScale>
        <cfvo type="min"/>
        <cfvo type="max"/>
        <color rgb="FFF8696B"/>
        <color rgb="FFFCFCFF"/>
      </colorScale>
    </cfRule>
  </conditionalFormatting>
  <conditionalFormatting sqref="BQ7:BQ24">
    <cfRule type="colorScale" priority="1">
      <colorScale>
        <cfvo type="min"/>
        <cfvo type="max"/>
        <color rgb="FFF8696B"/>
        <color rgb="FFFCFCFF"/>
      </colorScale>
    </cfRule>
  </conditionalFormatting>
  <conditionalFormatting sqref="BS7:BS24">
    <cfRule type="colorScale" priority="36">
      <colorScale>
        <cfvo type="min"/>
        <cfvo type="max"/>
        <color rgb="FFFCFCFF"/>
        <color rgb="FFF8696B"/>
      </colorScale>
    </cfRule>
  </conditionalFormatting>
  <conditionalFormatting sqref="BU7:BU24">
    <cfRule type="colorScale" priority="9">
      <colorScale>
        <cfvo type="min"/>
        <cfvo type="max"/>
        <color rgb="FFFCFCFF"/>
        <color rgb="FFF8696B"/>
      </colorScale>
    </cfRule>
  </conditionalFormatting>
  <conditionalFormatting sqref="BW7:BW24">
    <cfRule type="colorScale" priority="8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0483-F52D-4CC6-B736-93A7D2ECAED0}">
  <dimension ref="A1:AH19"/>
  <sheetViews>
    <sheetView workbookViewId="0">
      <selection activeCell="H30" sqref="H30"/>
    </sheetView>
  </sheetViews>
  <sheetFormatPr defaultRowHeight="14.25" x14ac:dyDescent="0.45"/>
  <cols>
    <col min="1" max="1" width="9.73046875" bestFit="1" customWidth="1"/>
    <col min="2" max="2" width="22.19921875" bestFit="1" customWidth="1"/>
    <col min="3" max="3" width="11.1328125" bestFit="1" customWidth="1"/>
    <col min="4" max="4" width="9.73046875" bestFit="1" customWidth="1"/>
    <col min="5" max="5" width="15" bestFit="1" customWidth="1"/>
    <col min="6" max="6" width="14.59765625" bestFit="1" customWidth="1"/>
    <col min="7" max="7" width="15.53125" bestFit="1" customWidth="1"/>
    <col min="8" max="8" width="18.06640625" bestFit="1" customWidth="1"/>
    <col min="9" max="9" width="17.6640625" bestFit="1" customWidth="1"/>
    <col min="10" max="10" width="18.59765625" bestFit="1" customWidth="1"/>
    <col min="11" max="11" width="22.19921875" bestFit="1" customWidth="1"/>
    <col min="12" max="12" width="21.796875" bestFit="1" customWidth="1"/>
    <col min="13" max="13" width="22.73046875" bestFit="1" customWidth="1"/>
    <col min="14" max="14" width="37" bestFit="1" customWidth="1"/>
    <col min="15" max="15" width="36.59765625" bestFit="1" customWidth="1"/>
    <col min="16" max="16" width="37.53125" bestFit="1" customWidth="1"/>
    <col min="17" max="17" width="17.265625" bestFit="1" customWidth="1"/>
    <col min="18" max="18" width="16.86328125" bestFit="1" customWidth="1"/>
    <col min="19" max="19" width="17.796875" bestFit="1" customWidth="1"/>
    <col min="20" max="20" width="16.73046875" bestFit="1" customWidth="1"/>
    <col min="21" max="21" width="16.33203125" bestFit="1" customWidth="1"/>
    <col min="22" max="22" width="17.265625" bestFit="1" customWidth="1"/>
    <col min="23" max="23" width="39" bestFit="1" customWidth="1"/>
    <col min="24" max="24" width="38.59765625" bestFit="1" customWidth="1"/>
    <col min="25" max="25" width="39.6640625" bestFit="1" customWidth="1"/>
    <col min="26" max="26" width="27.6640625" bestFit="1" customWidth="1"/>
    <col min="27" max="27" width="27.1328125" bestFit="1" customWidth="1"/>
    <col min="28" max="28" width="28.19921875" bestFit="1" customWidth="1"/>
    <col min="29" max="29" width="16.33203125" bestFit="1" customWidth="1"/>
    <col min="30" max="30" width="15.796875" bestFit="1" customWidth="1"/>
    <col min="31" max="31" width="16.86328125" bestFit="1" customWidth="1"/>
    <col min="32" max="32" width="17.6640625" bestFit="1" customWidth="1"/>
    <col min="33" max="33" width="17.265625" bestFit="1" customWidth="1"/>
    <col min="34" max="34" width="18.19921875" bestFit="1" customWidth="1"/>
  </cols>
  <sheetData>
    <row r="1" spans="1:34" x14ac:dyDescent="0.45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  <c r="O1" t="s">
        <v>144</v>
      </c>
      <c r="P1" t="s">
        <v>145</v>
      </c>
      <c r="Q1" t="s">
        <v>146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153</v>
      </c>
      <c r="Y1" t="s">
        <v>154</v>
      </c>
      <c r="Z1" t="s">
        <v>155</v>
      </c>
      <c r="AA1" t="s">
        <v>156</v>
      </c>
      <c r="AB1" t="s">
        <v>157</v>
      </c>
      <c r="AC1" t="s">
        <v>158</v>
      </c>
      <c r="AD1" t="s">
        <v>159</v>
      </c>
      <c r="AE1" t="s">
        <v>160</v>
      </c>
      <c r="AF1" t="s">
        <v>161</v>
      </c>
      <c r="AG1" t="s">
        <v>162</v>
      </c>
      <c r="AH1" t="s">
        <v>163</v>
      </c>
    </row>
    <row r="2" spans="1:34" x14ac:dyDescent="0.45">
      <c r="A2" t="s">
        <v>164</v>
      </c>
      <c r="B2" t="s">
        <v>102</v>
      </c>
      <c r="C2" t="s">
        <v>0</v>
      </c>
      <c r="D2" t="s">
        <v>165</v>
      </c>
      <c r="E2">
        <v>46.175151434689511</v>
      </c>
      <c r="F2">
        <v>265</v>
      </c>
      <c r="G2">
        <v>1</v>
      </c>
      <c r="H2">
        <v>0.5475696788008565</v>
      </c>
      <c r="I2">
        <v>80</v>
      </c>
      <c r="J2">
        <v>1</v>
      </c>
      <c r="K2">
        <v>0.25422366979179351</v>
      </c>
      <c r="L2">
        <v>314</v>
      </c>
      <c r="M2">
        <v>1</v>
      </c>
      <c r="N2">
        <v>31.497233404710915</v>
      </c>
      <c r="O2">
        <v>1307</v>
      </c>
      <c r="P2">
        <v>2</v>
      </c>
      <c r="Q2">
        <v>0.71662997858672373</v>
      </c>
      <c r="R2">
        <v>994</v>
      </c>
      <c r="S2">
        <v>2</v>
      </c>
      <c r="T2">
        <v>0.68036274089935755</v>
      </c>
      <c r="U2">
        <v>828</v>
      </c>
      <c r="V2">
        <v>2</v>
      </c>
      <c r="W2">
        <v>33.225449421841546</v>
      </c>
      <c r="X2">
        <v>1150</v>
      </c>
      <c r="Y2">
        <v>2</v>
      </c>
      <c r="Z2">
        <v>37.182009507494641</v>
      </c>
      <c r="AA2">
        <v>956</v>
      </c>
      <c r="AB2">
        <v>2</v>
      </c>
      <c r="AC2">
        <v>0.81045905059989576</v>
      </c>
      <c r="AD2">
        <v>28</v>
      </c>
      <c r="AE2">
        <v>1</v>
      </c>
      <c r="AF2">
        <v>0.76303197524497168</v>
      </c>
      <c r="AG2">
        <v>1</v>
      </c>
      <c r="AH2">
        <v>1</v>
      </c>
    </row>
    <row r="3" spans="1:34" x14ac:dyDescent="0.45">
      <c r="A3" t="s">
        <v>166</v>
      </c>
      <c r="B3" t="s">
        <v>119</v>
      </c>
      <c r="C3" t="s">
        <v>0</v>
      </c>
      <c r="D3" t="s">
        <v>165</v>
      </c>
      <c r="E3">
        <v>39.796912367529181</v>
      </c>
      <c r="F3">
        <v>490</v>
      </c>
      <c r="G3">
        <v>1</v>
      </c>
      <c r="H3">
        <v>0.46418172440041378</v>
      </c>
      <c r="I3">
        <v>255</v>
      </c>
      <c r="J3">
        <v>1</v>
      </c>
      <c r="K3">
        <v>0.21914240501507598</v>
      </c>
      <c r="L3">
        <v>601</v>
      </c>
      <c r="M3">
        <v>1</v>
      </c>
      <c r="N3">
        <v>20.919866454113709</v>
      </c>
      <c r="O3">
        <v>2662</v>
      </c>
      <c r="P3">
        <v>4</v>
      </c>
      <c r="Q3">
        <v>0.57843357809002871</v>
      </c>
      <c r="R3">
        <v>1274</v>
      </c>
      <c r="S3">
        <v>2</v>
      </c>
      <c r="T3">
        <v>0.69447642976937707</v>
      </c>
      <c r="U3">
        <v>801</v>
      </c>
      <c r="V3">
        <v>2</v>
      </c>
      <c r="W3">
        <v>34.46463591153114</v>
      </c>
      <c r="X3">
        <v>1006</v>
      </c>
      <c r="Y3">
        <v>2</v>
      </c>
      <c r="Z3">
        <v>38.484077901558216</v>
      </c>
      <c r="AA3">
        <v>837</v>
      </c>
      <c r="AB3">
        <v>2</v>
      </c>
      <c r="AC3">
        <v>0.73355126935999304</v>
      </c>
      <c r="AD3">
        <v>95</v>
      </c>
      <c r="AE3">
        <v>1</v>
      </c>
      <c r="AF3">
        <v>0.61283235239440803</v>
      </c>
      <c r="AG3">
        <v>50</v>
      </c>
      <c r="AH3">
        <v>1</v>
      </c>
    </row>
    <row r="4" spans="1:34" x14ac:dyDescent="0.45">
      <c r="A4" t="s">
        <v>167</v>
      </c>
      <c r="B4" t="s">
        <v>103</v>
      </c>
      <c r="C4" t="s">
        <v>0</v>
      </c>
      <c r="D4" t="s">
        <v>165</v>
      </c>
      <c r="E4">
        <v>34.60468784961634</v>
      </c>
      <c r="F4">
        <v>800</v>
      </c>
      <c r="G4">
        <v>2</v>
      </c>
      <c r="H4">
        <v>0.38622181323912719</v>
      </c>
      <c r="I4">
        <v>585</v>
      </c>
      <c r="J4">
        <v>1</v>
      </c>
      <c r="K4">
        <v>0.19557380439116906</v>
      </c>
      <c r="L4">
        <v>897</v>
      </c>
      <c r="M4">
        <v>2</v>
      </c>
      <c r="N4">
        <v>14.438393756072006</v>
      </c>
      <c r="O4">
        <v>3931</v>
      </c>
      <c r="P4">
        <v>6</v>
      </c>
      <c r="Q4">
        <v>0.45428552629493574</v>
      </c>
      <c r="R4">
        <v>1522</v>
      </c>
      <c r="S4">
        <v>3</v>
      </c>
      <c r="T4">
        <v>0.72722484113346264</v>
      </c>
      <c r="U4">
        <v>741</v>
      </c>
      <c r="V4">
        <v>2</v>
      </c>
      <c r="W4">
        <v>38.046481521058404</v>
      </c>
      <c r="X4">
        <v>631</v>
      </c>
      <c r="Y4">
        <v>1</v>
      </c>
      <c r="Z4">
        <v>36.87752741776076</v>
      </c>
      <c r="AA4">
        <v>986</v>
      </c>
      <c r="AB4">
        <v>2</v>
      </c>
      <c r="AC4">
        <v>0.63011866414705198</v>
      </c>
      <c r="AD4">
        <v>331</v>
      </c>
      <c r="AE4">
        <v>1</v>
      </c>
      <c r="AF4">
        <v>0.56508431797127112</v>
      </c>
      <c r="AG4">
        <v>97</v>
      </c>
      <c r="AH4">
        <v>1</v>
      </c>
    </row>
    <row r="5" spans="1:34" x14ac:dyDescent="0.45">
      <c r="A5" t="s">
        <v>168</v>
      </c>
      <c r="B5" t="s">
        <v>113</v>
      </c>
      <c r="C5" t="s">
        <v>0</v>
      </c>
      <c r="D5" t="s">
        <v>165</v>
      </c>
      <c r="E5">
        <v>36.476999522331027</v>
      </c>
      <c r="F5">
        <v>661</v>
      </c>
      <c r="G5">
        <v>1</v>
      </c>
      <c r="H5">
        <v>0.41954199506408729</v>
      </c>
      <c r="I5">
        <v>417</v>
      </c>
      <c r="J5">
        <v>1</v>
      </c>
      <c r="K5">
        <v>0.20535685752330224</v>
      </c>
      <c r="L5">
        <v>757</v>
      </c>
      <c r="M5">
        <v>2</v>
      </c>
      <c r="N5">
        <v>21.567459437942841</v>
      </c>
      <c r="O5">
        <v>2541</v>
      </c>
      <c r="P5">
        <v>4</v>
      </c>
      <c r="Q5">
        <v>0.41714592787198473</v>
      </c>
      <c r="R5">
        <v>1628</v>
      </c>
      <c r="S5">
        <v>3</v>
      </c>
      <c r="T5">
        <v>0.62875161213279207</v>
      </c>
      <c r="U5">
        <v>943</v>
      </c>
      <c r="V5">
        <v>2</v>
      </c>
      <c r="W5">
        <v>38.845696361754634</v>
      </c>
      <c r="X5">
        <v>566</v>
      </c>
      <c r="Y5">
        <v>1</v>
      </c>
      <c r="Z5">
        <v>33.984921503065038</v>
      </c>
      <c r="AA5">
        <v>1256</v>
      </c>
      <c r="AB5">
        <v>2</v>
      </c>
      <c r="AC5">
        <v>0.62720602526724978</v>
      </c>
      <c r="AD5">
        <v>339</v>
      </c>
      <c r="AE5">
        <v>1</v>
      </c>
      <c r="AF5">
        <v>0.55701187084520409</v>
      </c>
      <c r="AG5">
        <v>111</v>
      </c>
      <c r="AH5">
        <v>1</v>
      </c>
    </row>
    <row r="6" spans="1:34" x14ac:dyDescent="0.45">
      <c r="A6" t="s">
        <v>169</v>
      </c>
      <c r="B6" t="s">
        <v>112</v>
      </c>
      <c r="C6" t="s">
        <v>0</v>
      </c>
      <c r="D6" t="s">
        <v>165</v>
      </c>
      <c r="E6">
        <v>28.121589354684982</v>
      </c>
      <c r="F6">
        <v>1394</v>
      </c>
      <c r="G6">
        <v>3</v>
      </c>
      <c r="H6">
        <v>0.32616076532665716</v>
      </c>
      <c r="I6">
        <v>1062</v>
      </c>
      <c r="J6">
        <v>2</v>
      </c>
      <c r="K6">
        <v>0.15021781935333456</v>
      </c>
      <c r="L6">
        <v>1890</v>
      </c>
      <c r="M6">
        <v>3</v>
      </c>
      <c r="N6">
        <v>15.117480830281243</v>
      </c>
      <c r="O6">
        <v>3782</v>
      </c>
      <c r="P6">
        <v>6</v>
      </c>
      <c r="Q6">
        <v>9.8280698383914483E-2</v>
      </c>
      <c r="R6">
        <v>2510</v>
      </c>
      <c r="S6">
        <v>4</v>
      </c>
      <c r="T6">
        <v>0.19061597477071618</v>
      </c>
      <c r="U6">
        <v>2167</v>
      </c>
      <c r="V6">
        <v>4</v>
      </c>
      <c r="W6">
        <v>28.565122157636928</v>
      </c>
      <c r="X6">
        <v>1830</v>
      </c>
      <c r="Y6">
        <v>3</v>
      </c>
      <c r="Z6">
        <v>44.94909554325119</v>
      </c>
      <c r="AA6">
        <v>447</v>
      </c>
      <c r="AB6">
        <v>1</v>
      </c>
      <c r="AC6">
        <v>0.61650998773003052</v>
      </c>
      <c r="AD6">
        <v>377</v>
      </c>
      <c r="AE6">
        <v>1</v>
      </c>
      <c r="AF6">
        <v>0.36420522560398355</v>
      </c>
      <c r="AG6">
        <v>545</v>
      </c>
      <c r="AH6">
        <v>1</v>
      </c>
    </row>
    <row r="7" spans="1:34" x14ac:dyDescent="0.45">
      <c r="A7" t="s">
        <v>170</v>
      </c>
      <c r="B7" t="s">
        <v>117</v>
      </c>
      <c r="C7" t="s">
        <v>0</v>
      </c>
      <c r="D7" t="s">
        <v>165</v>
      </c>
      <c r="E7">
        <v>21.340036821479409</v>
      </c>
      <c r="F7">
        <v>2411</v>
      </c>
      <c r="G7">
        <v>4</v>
      </c>
      <c r="H7">
        <v>0.23445667505862022</v>
      </c>
      <c r="I7">
        <v>2192</v>
      </c>
      <c r="J7">
        <v>4</v>
      </c>
      <c r="K7">
        <v>0.1331148706619508</v>
      </c>
      <c r="L7">
        <v>2423</v>
      </c>
      <c r="M7">
        <v>4</v>
      </c>
      <c r="N7">
        <v>9.0796779300415231</v>
      </c>
      <c r="O7">
        <v>5239</v>
      </c>
      <c r="P7">
        <v>8</v>
      </c>
      <c r="Q7">
        <v>8.6465743681880897E-2</v>
      </c>
      <c r="R7">
        <v>2551</v>
      </c>
      <c r="S7">
        <v>4</v>
      </c>
      <c r="T7">
        <v>2.548605175572953E-2</v>
      </c>
      <c r="U7">
        <v>2692</v>
      </c>
      <c r="V7">
        <v>4</v>
      </c>
      <c r="W7">
        <v>20.964256869561353</v>
      </c>
      <c r="X7">
        <v>3465</v>
      </c>
      <c r="Y7">
        <v>6</v>
      </c>
      <c r="Z7">
        <v>42.273602021441818</v>
      </c>
      <c r="AA7">
        <v>592</v>
      </c>
      <c r="AB7">
        <v>1</v>
      </c>
      <c r="AC7">
        <v>0.35148685889006998</v>
      </c>
      <c r="AD7">
        <v>2476</v>
      </c>
      <c r="AE7">
        <v>4</v>
      </c>
      <c r="AF7">
        <v>0.33754055201964961</v>
      </c>
      <c r="AG7">
        <v>637</v>
      </c>
      <c r="AH7">
        <v>1</v>
      </c>
    </row>
    <row r="8" spans="1:34" x14ac:dyDescent="0.45">
      <c r="A8" t="s">
        <v>171</v>
      </c>
      <c r="B8" t="s">
        <v>115</v>
      </c>
      <c r="C8" t="s">
        <v>0</v>
      </c>
      <c r="D8" t="s">
        <v>165</v>
      </c>
      <c r="E8">
        <v>20.896074685766258</v>
      </c>
      <c r="F8">
        <v>2501</v>
      </c>
      <c r="G8">
        <v>4</v>
      </c>
      <c r="H8">
        <v>0.18080570338119539</v>
      </c>
      <c r="I8">
        <v>3233</v>
      </c>
      <c r="J8">
        <v>5</v>
      </c>
      <c r="K8">
        <v>0.11590960343717652</v>
      </c>
      <c r="L8">
        <v>3068</v>
      </c>
      <c r="M8">
        <v>5</v>
      </c>
      <c r="N8">
        <v>7.119133679304622</v>
      </c>
      <c r="O8">
        <v>5705</v>
      </c>
      <c r="P8">
        <v>9</v>
      </c>
      <c r="Q8">
        <v>3.7693624691638006E-2</v>
      </c>
      <c r="R8">
        <v>2709</v>
      </c>
      <c r="S8">
        <v>4</v>
      </c>
      <c r="T8">
        <v>4.0409679046940081E-2</v>
      </c>
      <c r="U8">
        <v>2635</v>
      </c>
      <c r="V8">
        <v>4</v>
      </c>
      <c r="W8">
        <v>20.00658954416388</v>
      </c>
      <c r="X8">
        <v>3746</v>
      </c>
      <c r="Y8">
        <v>6</v>
      </c>
      <c r="Z8">
        <v>48.760183345831543</v>
      </c>
      <c r="AA8">
        <v>303</v>
      </c>
      <c r="AB8">
        <v>1</v>
      </c>
      <c r="AC8">
        <v>0.32479439737053056</v>
      </c>
      <c r="AD8">
        <v>2832</v>
      </c>
      <c r="AE8">
        <v>5</v>
      </c>
      <c r="AF8">
        <v>0.28748059471628817</v>
      </c>
      <c r="AG8">
        <v>978</v>
      </c>
      <c r="AH8">
        <v>2</v>
      </c>
    </row>
    <row r="9" spans="1:34" x14ac:dyDescent="0.45">
      <c r="A9" t="s">
        <v>172</v>
      </c>
      <c r="B9" t="s">
        <v>111</v>
      </c>
      <c r="C9" t="s">
        <v>0</v>
      </c>
      <c r="D9" t="s">
        <v>165</v>
      </c>
      <c r="E9">
        <v>24.532201142621705</v>
      </c>
      <c r="F9">
        <v>1849</v>
      </c>
      <c r="G9">
        <v>3</v>
      </c>
      <c r="H9">
        <v>0.24729537342137306</v>
      </c>
      <c r="I9">
        <v>2008</v>
      </c>
      <c r="J9">
        <v>3</v>
      </c>
      <c r="K9">
        <v>0.12378999635699922</v>
      </c>
      <c r="L9">
        <v>2743</v>
      </c>
      <c r="M9">
        <v>5</v>
      </c>
      <c r="N9">
        <v>10.183386883132165</v>
      </c>
      <c r="O9">
        <v>4966</v>
      </c>
      <c r="P9">
        <v>8</v>
      </c>
      <c r="Q9">
        <v>4.9575993303244137E-4</v>
      </c>
      <c r="R9">
        <v>2828</v>
      </c>
      <c r="S9">
        <v>5</v>
      </c>
      <c r="T9">
        <v>0.44731022743409021</v>
      </c>
      <c r="U9">
        <v>1417</v>
      </c>
      <c r="V9">
        <v>3</v>
      </c>
      <c r="W9">
        <v>27.244626984429349</v>
      </c>
      <c r="X9">
        <v>2044</v>
      </c>
      <c r="Y9">
        <v>3</v>
      </c>
      <c r="Z9">
        <v>51.254824633951777</v>
      </c>
      <c r="AA9">
        <v>212</v>
      </c>
      <c r="AB9">
        <v>1</v>
      </c>
      <c r="AC9">
        <v>0.4298334097548841</v>
      </c>
      <c r="AD9">
        <v>1639</v>
      </c>
      <c r="AE9">
        <v>3</v>
      </c>
      <c r="AF9">
        <v>0.35861252962842582</v>
      </c>
      <c r="AG9">
        <v>562</v>
      </c>
      <c r="AH9">
        <v>1</v>
      </c>
    </row>
    <row r="10" spans="1:34" x14ac:dyDescent="0.45">
      <c r="A10" t="s">
        <v>173</v>
      </c>
      <c r="B10" t="s">
        <v>109</v>
      </c>
      <c r="C10" t="s">
        <v>0</v>
      </c>
      <c r="D10" t="s">
        <v>165</v>
      </c>
      <c r="E10">
        <v>23.269144191936007</v>
      </c>
      <c r="F10">
        <v>2066</v>
      </c>
      <c r="G10">
        <v>4</v>
      </c>
      <c r="H10">
        <v>0.29309680402798566</v>
      </c>
      <c r="I10">
        <v>1401</v>
      </c>
      <c r="J10">
        <v>3</v>
      </c>
      <c r="K10">
        <v>0.13430631359753994</v>
      </c>
      <c r="L10">
        <v>2382</v>
      </c>
      <c r="M10">
        <v>4</v>
      </c>
      <c r="N10">
        <v>11.430742231651962</v>
      </c>
      <c r="O10">
        <v>4653</v>
      </c>
      <c r="P10">
        <v>7</v>
      </c>
      <c r="Q10">
        <v>-0.33225183357511456</v>
      </c>
      <c r="R10">
        <v>4011</v>
      </c>
      <c r="S10">
        <v>6</v>
      </c>
      <c r="T10">
        <v>0.16634502769113912</v>
      </c>
      <c r="U10">
        <v>2257</v>
      </c>
      <c r="V10">
        <v>4</v>
      </c>
      <c r="W10">
        <v>26.481616628829819</v>
      </c>
      <c r="X10">
        <v>2198</v>
      </c>
      <c r="Y10">
        <v>4</v>
      </c>
      <c r="Z10">
        <v>38.394843441691258</v>
      </c>
      <c r="AA10">
        <v>847</v>
      </c>
      <c r="AB10">
        <v>2</v>
      </c>
      <c r="AC10">
        <v>0.46912982382712637</v>
      </c>
      <c r="AD10">
        <v>1278</v>
      </c>
      <c r="AE10">
        <v>2</v>
      </c>
      <c r="AF10">
        <v>0.43976676083775063</v>
      </c>
      <c r="AG10">
        <v>308</v>
      </c>
      <c r="AH10">
        <v>1</v>
      </c>
    </row>
    <row r="11" spans="1:34" x14ac:dyDescent="0.45">
      <c r="A11" t="s">
        <v>174</v>
      </c>
      <c r="B11" t="s">
        <v>107</v>
      </c>
      <c r="C11" t="s">
        <v>0</v>
      </c>
      <c r="D11" t="s">
        <v>165</v>
      </c>
      <c r="E11">
        <v>20.338909051468264</v>
      </c>
      <c r="F11">
        <v>2611</v>
      </c>
      <c r="G11">
        <v>4</v>
      </c>
      <c r="H11">
        <v>0.18246118818724333</v>
      </c>
      <c r="I11">
        <v>3197</v>
      </c>
      <c r="J11">
        <v>5</v>
      </c>
      <c r="K11">
        <v>9.1296403767801571E-2</v>
      </c>
      <c r="L11">
        <v>4277</v>
      </c>
      <c r="M11">
        <v>7</v>
      </c>
      <c r="N11">
        <v>4.7137113594400457</v>
      </c>
      <c r="O11">
        <v>6279</v>
      </c>
      <c r="P11">
        <v>10</v>
      </c>
      <c r="Q11">
        <v>-0.51324159763816246</v>
      </c>
      <c r="R11">
        <v>4639</v>
      </c>
      <c r="S11">
        <v>7</v>
      </c>
      <c r="T11">
        <v>0.67969021909343874</v>
      </c>
      <c r="U11">
        <v>831</v>
      </c>
      <c r="V11">
        <v>2</v>
      </c>
      <c r="W11">
        <v>24.301962127343046</v>
      </c>
      <c r="X11">
        <v>2649</v>
      </c>
      <c r="Y11">
        <v>4</v>
      </c>
      <c r="Z11">
        <v>54.270716057082751</v>
      </c>
      <c r="AA11">
        <v>143</v>
      </c>
      <c r="AB11">
        <v>1</v>
      </c>
      <c r="AC11">
        <v>0.3116177612623795</v>
      </c>
      <c r="AD11">
        <v>3019</v>
      </c>
      <c r="AE11">
        <v>5</v>
      </c>
      <c r="AF11">
        <v>0.3278328125834658</v>
      </c>
      <c r="AG11">
        <v>687</v>
      </c>
      <c r="AH11">
        <v>2</v>
      </c>
    </row>
    <row r="12" spans="1:34" x14ac:dyDescent="0.45">
      <c r="A12" t="s">
        <v>175</v>
      </c>
      <c r="B12" t="s">
        <v>118</v>
      </c>
      <c r="C12" t="s">
        <v>0</v>
      </c>
      <c r="D12" t="s">
        <v>165</v>
      </c>
      <c r="E12">
        <v>18.052307999871935</v>
      </c>
      <c r="F12">
        <v>3103</v>
      </c>
      <c r="G12">
        <v>5</v>
      </c>
      <c r="H12">
        <v>0.15962346983322936</v>
      </c>
      <c r="I12">
        <v>3821</v>
      </c>
      <c r="J12">
        <v>6</v>
      </c>
      <c r="K12">
        <v>9.5751775072709461E-2</v>
      </c>
      <c r="L12">
        <v>4046</v>
      </c>
      <c r="M12">
        <v>6</v>
      </c>
      <c r="N12">
        <v>8.0877135693812203</v>
      </c>
      <c r="O12">
        <v>5482</v>
      </c>
      <c r="P12">
        <v>9</v>
      </c>
      <c r="Q12">
        <v>-0.55069857570943748</v>
      </c>
      <c r="R12">
        <v>4754</v>
      </c>
      <c r="S12">
        <v>7</v>
      </c>
      <c r="T12">
        <v>0.13510726794168149</v>
      </c>
      <c r="U12">
        <v>2358</v>
      </c>
      <c r="V12">
        <v>4</v>
      </c>
      <c r="W12">
        <v>18.66212696741816</v>
      </c>
      <c r="X12">
        <v>4160</v>
      </c>
      <c r="Y12">
        <v>7</v>
      </c>
      <c r="Z12">
        <v>57.546797609417602</v>
      </c>
      <c r="AA12">
        <v>88</v>
      </c>
      <c r="AB12">
        <v>1</v>
      </c>
      <c r="AC12">
        <v>0.31525979255621889</v>
      </c>
      <c r="AD12">
        <v>2973</v>
      </c>
      <c r="AE12">
        <v>5</v>
      </c>
      <c r="AF12">
        <v>0.22336866837456457</v>
      </c>
      <c r="AG12">
        <v>1631</v>
      </c>
      <c r="AH12">
        <v>3</v>
      </c>
    </row>
    <row r="13" spans="1:34" x14ac:dyDescent="0.45">
      <c r="A13" t="s">
        <v>176</v>
      </c>
      <c r="B13" t="s">
        <v>101</v>
      </c>
      <c r="C13" t="s">
        <v>0</v>
      </c>
      <c r="D13" t="s">
        <v>165</v>
      </c>
      <c r="E13">
        <v>17.543395611970787</v>
      </c>
      <c r="F13">
        <v>3234</v>
      </c>
      <c r="G13">
        <v>5</v>
      </c>
      <c r="H13">
        <v>0.15569129620510197</v>
      </c>
      <c r="I13">
        <v>3945</v>
      </c>
      <c r="J13">
        <v>6</v>
      </c>
      <c r="K13">
        <v>8.3933791056786902E-2</v>
      </c>
      <c r="L13">
        <v>4732</v>
      </c>
      <c r="M13">
        <v>7</v>
      </c>
      <c r="N13">
        <v>4.2350054605637331</v>
      </c>
      <c r="O13">
        <v>6381</v>
      </c>
      <c r="P13">
        <v>10</v>
      </c>
      <c r="Q13">
        <v>-0.55876416097447279</v>
      </c>
      <c r="R13">
        <v>4793</v>
      </c>
      <c r="S13">
        <v>8</v>
      </c>
      <c r="T13">
        <v>0.54344060975401731</v>
      </c>
      <c r="U13">
        <v>1134</v>
      </c>
      <c r="V13">
        <v>2</v>
      </c>
      <c r="W13">
        <v>25.138033798414849</v>
      </c>
      <c r="X13">
        <v>2461</v>
      </c>
      <c r="Y13">
        <v>4</v>
      </c>
      <c r="Z13">
        <v>51.04527011210962</v>
      </c>
      <c r="AA13">
        <v>219</v>
      </c>
      <c r="AB13">
        <v>1</v>
      </c>
      <c r="AC13">
        <v>0.23043208691556163</v>
      </c>
      <c r="AD13">
        <v>4409</v>
      </c>
      <c r="AE13">
        <v>7</v>
      </c>
      <c r="AF13">
        <v>0.29700522410479835</v>
      </c>
      <c r="AG13">
        <v>901</v>
      </c>
      <c r="AH13">
        <v>2</v>
      </c>
    </row>
    <row r="14" spans="1:34" x14ac:dyDescent="0.45">
      <c r="A14" t="s">
        <v>177</v>
      </c>
      <c r="B14" t="s">
        <v>104</v>
      </c>
      <c r="C14" t="s">
        <v>0</v>
      </c>
      <c r="D14" t="s">
        <v>165</v>
      </c>
      <c r="E14">
        <v>20.90691725000007</v>
      </c>
      <c r="F14">
        <v>2499</v>
      </c>
      <c r="G14">
        <v>4</v>
      </c>
      <c r="H14">
        <v>0.18991783243545313</v>
      </c>
      <c r="I14">
        <v>3042</v>
      </c>
      <c r="J14">
        <v>5</v>
      </c>
      <c r="K14">
        <v>9.7246573142977646E-2</v>
      </c>
      <c r="L14">
        <v>3948</v>
      </c>
      <c r="M14">
        <v>6</v>
      </c>
      <c r="N14">
        <v>10.260113958136477</v>
      </c>
      <c r="O14">
        <v>4951</v>
      </c>
      <c r="P14">
        <v>8</v>
      </c>
      <c r="Q14">
        <v>-0.63352749633862604</v>
      </c>
      <c r="R14">
        <v>5056</v>
      </c>
      <c r="S14">
        <v>8</v>
      </c>
      <c r="T14">
        <v>0.51238423347850293</v>
      </c>
      <c r="U14">
        <v>1223</v>
      </c>
      <c r="V14">
        <v>2</v>
      </c>
      <c r="W14">
        <v>24.867959091955349</v>
      </c>
      <c r="X14">
        <v>2516</v>
      </c>
      <c r="Y14">
        <v>4</v>
      </c>
      <c r="Z14">
        <v>53.049703838276841</v>
      </c>
      <c r="AA14">
        <v>168</v>
      </c>
      <c r="AB14">
        <v>1</v>
      </c>
      <c r="AC14">
        <v>0.35913954572095974</v>
      </c>
      <c r="AD14">
        <v>2385</v>
      </c>
      <c r="AE14">
        <v>4</v>
      </c>
      <c r="AF14">
        <v>0.26213702123976557</v>
      </c>
      <c r="AG14">
        <v>1202</v>
      </c>
      <c r="AH14">
        <v>2</v>
      </c>
    </row>
    <row r="15" spans="1:34" x14ac:dyDescent="0.45">
      <c r="A15" t="s">
        <v>178</v>
      </c>
      <c r="B15" t="s">
        <v>108</v>
      </c>
      <c r="C15" t="s">
        <v>0</v>
      </c>
      <c r="D15" t="s">
        <v>165</v>
      </c>
      <c r="E15">
        <v>21.748590453194652</v>
      </c>
      <c r="F15">
        <v>2337</v>
      </c>
      <c r="G15">
        <v>4</v>
      </c>
      <c r="H15">
        <v>0.24496359583952454</v>
      </c>
      <c r="I15">
        <v>2045</v>
      </c>
      <c r="J15">
        <v>3</v>
      </c>
      <c r="K15">
        <v>0.11744572896596019</v>
      </c>
      <c r="L15">
        <v>2996</v>
      </c>
      <c r="M15">
        <v>5</v>
      </c>
      <c r="N15">
        <v>9.4694505014858841</v>
      </c>
      <c r="O15">
        <v>5143</v>
      </c>
      <c r="P15">
        <v>8</v>
      </c>
      <c r="Q15">
        <v>-0.6442023588410104</v>
      </c>
      <c r="R15">
        <v>5090</v>
      </c>
      <c r="S15">
        <v>8</v>
      </c>
      <c r="T15">
        <v>8.1949851411589919E-2</v>
      </c>
      <c r="U15">
        <v>2494</v>
      </c>
      <c r="V15">
        <v>4</v>
      </c>
      <c r="W15">
        <v>25.453875</v>
      </c>
      <c r="X15">
        <v>2397</v>
      </c>
      <c r="Y15">
        <v>4</v>
      </c>
      <c r="Z15">
        <v>47.770697158246662</v>
      </c>
      <c r="AA15">
        <v>335</v>
      </c>
      <c r="AB15">
        <v>1</v>
      </c>
      <c r="AC15">
        <v>0.40289332460732985</v>
      </c>
      <c r="AD15">
        <v>1895</v>
      </c>
      <c r="AE15">
        <v>3</v>
      </c>
      <c r="AF15">
        <v>0.31906391545042778</v>
      </c>
      <c r="AG15">
        <v>741</v>
      </c>
      <c r="AH15">
        <v>2</v>
      </c>
    </row>
    <row r="16" spans="1:34" x14ac:dyDescent="0.45">
      <c r="A16" t="s">
        <v>179</v>
      </c>
      <c r="B16" t="s">
        <v>110</v>
      </c>
      <c r="C16" t="s">
        <v>0</v>
      </c>
      <c r="D16" t="s">
        <v>165</v>
      </c>
      <c r="E16">
        <v>13.961708565465401</v>
      </c>
      <c r="F16">
        <v>4243</v>
      </c>
      <c r="G16">
        <v>7</v>
      </c>
      <c r="H16">
        <v>0.11231146916217602</v>
      </c>
      <c r="I16">
        <v>5415</v>
      </c>
      <c r="J16">
        <v>8</v>
      </c>
      <c r="K16">
        <v>6.3528461403691339E-2</v>
      </c>
      <c r="L16">
        <v>5960</v>
      </c>
      <c r="M16">
        <v>9</v>
      </c>
      <c r="N16">
        <v>3.0725492156516725</v>
      </c>
      <c r="O16">
        <v>6557</v>
      </c>
      <c r="P16">
        <v>10</v>
      </c>
      <c r="Q16">
        <v>-1.0667155937986752</v>
      </c>
      <c r="R16">
        <v>6130</v>
      </c>
      <c r="S16">
        <v>9</v>
      </c>
      <c r="T16">
        <v>6.183984310811505E-2</v>
      </c>
      <c r="U16">
        <v>2571</v>
      </c>
      <c r="V16">
        <v>4</v>
      </c>
      <c r="W16">
        <v>16.52847208238321</v>
      </c>
      <c r="X16">
        <v>4767</v>
      </c>
      <c r="Y16">
        <v>7</v>
      </c>
      <c r="Z16">
        <v>61.057790078129557</v>
      </c>
      <c r="AA16">
        <v>55</v>
      </c>
      <c r="AB16">
        <v>1</v>
      </c>
      <c r="AC16">
        <v>0.18539628756596621</v>
      </c>
      <c r="AD16">
        <v>5284</v>
      </c>
      <c r="AE16">
        <v>8</v>
      </c>
      <c r="AF16">
        <v>0.17364131395882698</v>
      </c>
      <c r="AG16">
        <v>2379</v>
      </c>
      <c r="AH16">
        <v>4</v>
      </c>
    </row>
    <row r="17" spans="1:34" x14ac:dyDescent="0.45">
      <c r="A17" t="s">
        <v>180</v>
      </c>
      <c r="B17" t="s">
        <v>100</v>
      </c>
      <c r="C17" t="s">
        <v>0</v>
      </c>
      <c r="D17" t="s">
        <v>165</v>
      </c>
      <c r="E17">
        <v>13.657800296889903</v>
      </c>
      <c r="F17">
        <v>4337</v>
      </c>
      <c r="G17">
        <v>7</v>
      </c>
      <c r="H17">
        <v>0.15291340679594523</v>
      </c>
      <c r="I17">
        <v>4020</v>
      </c>
      <c r="J17">
        <v>6</v>
      </c>
      <c r="K17">
        <v>7.4208660654953157E-2</v>
      </c>
      <c r="L17">
        <v>5334</v>
      </c>
      <c r="M17">
        <v>8</v>
      </c>
      <c r="N17">
        <v>5.9806311607536395</v>
      </c>
      <c r="O17">
        <v>5983</v>
      </c>
      <c r="P17">
        <v>9</v>
      </c>
      <c r="Q17">
        <v>-1.1436033652421815</v>
      </c>
      <c r="R17">
        <v>6250</v>
      </c>
      <c r="S17">
        <v>10</v>
      </c>
      <c r="T17">
        <v>-0.45183151931164933</v>
      </c>
      <c r="U17">
        <v>4403</v>
      </c>
      <c r="V17">
        <v>7</v>
      </c>
      <c r="W17">
        <v>22.993718632395648</v>
      </c>
      <c r="X17">
        <v>2951</v>
      </c>
      <c r="Y17">
        <v>5</v>
      </c>
      <c r="Z17">
        <v>46.327599198542295</v>
      </c>
      <c r="AA17">
        <v>392</v>
      </c>
      <c r="AB17">
        <v>1</v>
      </c>
      <c r="AC17">
        <v>0.16963851522912757</v>
      </c>
      <c r="AD17">
        <v>5598</v>
      </c>
      <c r="AE17">
        <v>9</v>
      </c>
      <c r="AF17">
        <v>0.30134000683878104</v>
      </c>
      <c r="AG17">
        <v>863</v>
      </c>
      <c r="AH17">
        <v>2</v>
      </c>
    </row>
    <row r="18" spans="1:34" x14ac:dyDescent="0.45">
      <c r="A18" t="s">
        <v>181</v>
      </c>
      <c r="B18" t="s">
        <v>182</v>
      </c>
      <c r="C18" t="s">
        <v>0</v>
      </c>
      <c r="D18" t="s">
        <v>165</v>
      </c>
      <c r="E18">
        <v>17.554437411271778</v>
      </c>
      <c r="F18">
        <v>3233</v>
      </c>
      <c r="G18">
        <v>5</v>
      </c>
      <c r="H18">
        <v>0.149191670226617</v>
      </c>
      <c r="I18">
        <v>4140</v>
      </c>
      <c r="J18">
        <v>7</v>
      </c>
      <c r="K18">
        <v>8.5961186007543877E-2</v>
      </c>
      <c r="L18">
        <v>4596</v>
      </c>
      <c r="M18">
        <v>7</v>
      </c>
      <c r="N18">
        <v>8.3835464422960975</v>
      </c>
      <c r="O18">
        <v>5422</v>
      </c>
      <c r="P18">
        <v>8</v>
      </c>
      <c r="Q18">
        <v>-1.1630628223768362</v>
      </c>
      <c r="R18">
        <v>6287</v>
      </c>
      <c r="S18">
        <v>10</v>
      </c>
      <c r="T18">
        <v>9.8705847692622931E-2</v>
      </c>
      <c r="U18">
        <v>2451</v>
      </c>
      <c r="V18">
        <v>4</v>
      </c>
      <c r="W18">
        <v>19.225341816869083</v>
      </c>
      <c r="X18">
        <v>3993</v>
      </c>
      <c r="Y18">
        <v>6</v>
      </c>
      <c r="Z18">
        <v>52.846234546949617</v>
      </c>
      <c r="AA18">
        <v>175</v>
      </c>
      <c r="AB18">
        <v>1</v>
      </c>
      <c r="AC18">
        <v>0.23783118967580413</v>
      </c>
      <c r="AD18">
        <v>4282</v>
      </c>
      <c r="AE18">
        <v>7</v>
      </c>
      <c r="AF18">
        <v>0.16713013108072142</v>
      </c>
      <c r="AG18">
        <v>2501</v>
      </c>
      <c r="AH18">
        <v>4</v>
      </c>
    </row>
    <row r="19" spans="1:34" x14ac:dyDescent="0.45">
      <c r="A19" t="s">
        <v>183</v>
      </c>
      <c r="B19" t="s">
        <v>114</v>
      </c>
      <c r="C19" t="s">
        <v>0</v>
      </c>
      <c r="D19" t="s">
        <v>165</v>
      </c>
      <c r="E19">
        <v>13.457188660099407</v>
      </c>
      <c r="F19">
        <v>4404</v>
      </c>
      <c r="G19">
        <v>7</v>
      </c>
      <c r="H19">
        <v>0.13945714226463979</v>
      </c>
      <c r="I19">
        <v>4447</v>
      </c>
      <c r="J19">
        <v>7</v>
      </c>
      <c r="K19">
        <v>6.7732800715077979E-2</v>
      </c>
      <c r="L19">
        <v>5733</v>
      </c>
      <c r="M19">
        <v>9</v>
      </c>
      <c r="N19">
        <v>6.5800861187891826</v>
      </c>
      <c r="O19">
        <v>5842</v>
      </c>
      <c r="P19">
        <v>9</v>
      </c>
      <c r="Q19">
        <v>-1.1896094471748555</v>
      </c>
      <c r="R19">
        <v>6321</v>
      </c>
      <c r="S19">
        <v>10</v>
      </c>
      <c r="T19">
        <v>-0.12508694976452459</v>
      </c>
      <c r="U19">
        <v>3193</v>
      </c>
      <c r="V19">
        <v>5</v>
      </c>
      <c r="W19">
        <v>19.986333070780063</v>
      </c>
      <c r="X19">
        <v>3753</v>
      </c>
      <c r="Y19">
        <v>6</v>
      </c>
      <c r="Z19">
        <v>48.879806598223851</v>
      </c>
      <c r="AA19">
        <v>300</v>
      </c>
      <c r="AB19">
        <v>1</v>
      </c>
      <c r="AC19">
        <v>0.2147144258306303</v>
      </c>
      <c r="AD19">
        <v>4710</v>
      </c>
      <c r="AE19">
        <v>7</v>
      </c>
      <c r="AF19">
        <v>0.21245150450248576</v>
      </c>
      <c r="AG19">
        <v>1804</v>
      </c>
      <c r="AH19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D343C077EEDF48BC0F21E96DA38792" ma:contentTypeVersion="29" ma:contentTypeDescription="Create a new document." ma:contentTypeScope="" ma:versionID="8734528f604104415e74fca46c2f23b4">
  <xsd:schema xmlns:xsd="http://www.w3.org/2001/XMLSchema" xmlns:xs="http://www.w3.org/2001/XMLSchema" xmlns:p="http://schemas.microsoft.com/office/2006/metadata/properties" xmlns:ns2="ee79a79a-79ca-46b8-b146-0ce4ad54d0ab" xmlns:ns3="af29bc46-6866-4b33-9058-f4db4a1e01ae" xmlns:ns4="d202d31c-686c-4115-a7b9-5cc891ed602b" targetNamespace="http://schemas.microsoft.com/office/2006/metadata/properties" ma:root="true" ma:fieldsID="bcdad2c4c46f4c076dbc34e6d2736d66" ns2:_="" ns3:_="" ns4:_="">
    <xsd:import namespace="ee79a79a-79ca-46b8-b146-0ce4ad54d0ab"/>
    <xsd:import namespace="af29bc46-6866-4b33-9058-f4db4a1e01ae"/>
    <xsd:import namespace="d202d31c-686c-4115-a7b9-5cc891ed60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Tags" minOccurs="0"/>
                <xsd:element ref="ns2:Order0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Shortlisted" minOccurs="0"/>
                <xsd:element ref="ns2:Skil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9a79a-79ca-46b8-b146-0ce4ad54d0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ags" ma:index="21" nillable="true" ma:displayName="Tech Skills" ma:description="Description to help with filing" ma:format="Dropdown" ma:internalName="Tags">
      <xsd:simpleType>
        <xsd:restriction base="dms:Text">
          <xsd:maxLength value="255"/>
        </xsd:restriction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78bb61a9-1cb6-416b-8dcb-4ddbf3c41e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Shortlisted" ma:index="27" nillable="true" ma:displayName="Shortlisted" ma:format="Dropdown" ma:internalName="Shortlisted">
      <xsd:simpleType>
        <xsd:restriction base="dms:Choice">
          <xsd:enumeration value="No"/>
          <xsd:enumeration value="Yes"/>
          <xsd:enumeration value="Potentially"/>
        </xsd:restriction>
      </xsd:simpleType>
    </xsd:element>
    <xsd:element name="Skills" ma:index="28" nillable="true" ma:displayName="GIS/BI Skills" ma:format="Dropdown" ma:internalName="Skills">
      <xsd:simpleType>
        <xsd:restriction base="dms:Choice">
          <xsd:enumeration value="No mention of GIS or Power BI"/>
          <xsd:enumeration value="Familiar/Training in GIS, experience of Power BI"/>
          <xsd:enumeration value="Both GIS and power BI skills"/>
          <xsd:enumeration value="Power BI skills, no mention of GIS"/>
          <xsd:enumeration value="GIS skills, no mention of Power BI"/>
        </xsd:restriction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9bc46-6866-4b33-9058-f4db4a1e01a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02d31c-686c-4115-a7b9-5cc891ed602b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053af2b6-a849-442c-a858-c9d2723e18be}" ma:internalName="TaxCatchAll" ma:showField="CatchAllData" ma:web="af29bc46-6866-4b33-9058-f4db4a1e01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r0 xmlns="ee79a79a-79ca-46b8-b146-0ce4ad54d0ab" xsi:nil="true"/>
    <Shortlisted xmlns="ee79a79a-79ca-46b8-b146-0ce4ad54d0ab" xsi:nil="true"/>
    <Tags xmlns="ee79a79a-79ca-46b8-b146-0ce4ad54d0ab" xsi:nil="true"/>
    <Skills xmlns="ee79a79a-79ca-46b8-b146-0ce4ad54d0ab" xsi:nil="true"/>
    <lcf76f155ced4ddcb4097134ff3c332f xmlns="ee79a79a-79ca-46b8-b146-0ce4ad54d0ab">
      <Terms xmlns="http://schemas.microsoft.com/office/infopath/2007/PartnerControls"/>
    </lcf76f155ced4ddcb4097134ff3c332f>
    <TaxCatchAll xmlns="d202d31c-686c-4115-a7b9-5cc891ed602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595847-B1A5-4848-998E-5321CE853A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79a79a-79ca-46b8-b146-0ce4ad54d0ab"/>
    <ds:schemaRef ds:uri="af29bc46-6866-4b33-9058-f4db4a1e01ae"/>
    <ds:schemaRef ds:uri="d202d31c-686c-4115-a7b9-5cc891ed60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05CB3F-E471-4628-AE33-1B3BD8E6143C}">
  <ds:schemaRefs>
    <ds:schemaRef ds:uri="http://schemas.microsoft.com/office/2006/metadata/properties"/>
    <ds:schemaRef ds:uri="http://schemas.microsoft.com/office/infopath/2007/PartnerControls"/>
    <ds:schemaRef ds:uri="ee79a79a-79ca-46b8-b146-0ce4ad54d0ab"/>
    <ds:schemaRef ds:uri="d202d31c-686c-4115-a7b9-5cc891ed602b"/>
  </ds:schemaRefs>
</ds:datastoreItem>
</file>

<file path=customXml/itemProps3.xml><?xml version="1.0" encoding="utf-8"?>
<ds:datastoreItem xmlns:ds="http://schemas.openxmlformats.org/officeDocument/2006/customXml" ds:itemID="{E7B25A46-0718-48EB-B335-576065A696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Dataset_Overview</vt:lpstr>
      <vt:lpstr>CPM_2024_2025_Scores</vt:lpstr>
      <vt:lpstr>CPM_2023_2024_Scores</vt:lpstr>
      <vt:lpstr>IMD_2025_Ward</vt:lpstr>
    </vt:vector>
  </TitlesOfParts>
  <Company>Westminster City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Reilly, Sian: WCC</dc:creator>
  <cp:lastModifiedBy>Reilly, Sian: WCC</cp:lastModifiedBy>
  <dcterms:created xsi:type="dcterms:W3CDTF">2026-08-06T13:03:27Z</dcterms:created>
  <dcterms:modified xsi:type="dcterms:W3CDTF">2026-08-07T10:50:06Z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0x01010072D343C077EEDF48BC0F21E96DA38792</vt:lpwstr>
  </property>
</Properties>
</file>